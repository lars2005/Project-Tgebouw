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adminwindesheim-my.sharepoint.com/personal/tv0070414_windesheim_nl/Documents/EIT Elektrotechnische Installatietechniek/"/>
    </mc:Choice>
  </mc:AlternateContent>
  <xr:revisionPtr revIDLastSave="45" documentId="11_12683F4405066D06E6A4008B70503886055F612C" xr6:coauthVersionLast="47" xr6:coauthVersionMax="47" xr10:uidLastSave="{6EFF4466-62FA-4EC9-B70B-724803E95D95}"/>
  <bookViews>
    <workbookView xWindow="-28920" yWindow="-15" windowWidth="29040" windowHeight="15720" xr2:uid="{00000000-000D-0000-FFFF-FFFF00000000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7" i="1"/>
  <c r="F24" i="1"/>
  <c r="F28" i="1"/>
  <c r="F32" i="1"/>
  <c r="F29" i="1" l="1"/>
  <c r="F40" i="1" l="1"/>
  <c r="F35" i="1"/>
  <c r="F25" i="1"/>
  <c r="F33" i="1"/>
  <c r="F34" i="1"/>
  <c r="F36" i="1"/>
  <c r="F46" i="1" l="1"/>
  <c r="F37" i="1"/>
  <c r="F41" i="1"/>
  <c r="F23" i="1"/>
  <c r="F43" i="1" l="1"/>
  <c r="F44" i="1" l="1"/>
  <c r="F45" i="1" l="1"/>
  <c r="F47" i="1" l="1"/>
  <c r="F48" i="1" s="1"/>
</calcChain>
</file>

<file path=xl/sharedStrings.xml><?xml version="1.0" encoding="utf-8"?>
<sst xmlns="http://schemas.openxmlformats.org/spreadsheetml/2006/main" count="63" uniqueCount="44">
  <si>
    <t>Omschrijving</t>
  </si>
  <si>
    <t>Aantal</t>
  </si>
  <si>
    <t>Bedankt voor uw opdracht en het gestelde vertrouwen!</t>
  </si>
  <si>
    <t>[postcode + woonplaats]</t>
  </si>
  <si>
    <t>[telefoonnummer]</t>
  </si>
  <si>
    <t>[emailadres]</t>
  </si>
  <si>
    <t>[straatnaam + huisnummer]</t>
  </si>
  <si>
    <t>Offerte</t>
  </si>
  <si>
    <t>Offertenummer: ………</t>
  </si>
  <si>
    <t>Vervaldatum: ……….</t>
  </si>
  <si>
    <t>Offertedatum: ………</t>
  </si>
  <si>
    <t>[bedrijfsnaam]</t>
  </si>
  <si>
    <t>[bedrijfsnaam klant]</t>
  </si>
  <si>
    <t>uur/stuks</t>
  </si>
  <si>
    <t>stuk(s)</t>
  </si>
  <si>
    <t>uur</t>
  </si>
  <si>
    <t>Winst/risico 10%</t>
  </si>
  <si>
    <t>Totaal arbeid</t>
  </si>
  <si>
    <t>Totaal materialen</t>
  </si>
  <si>
    <t>BTW</t>
  </si>
  <si>
    <t>Monteur voor installeren panelen</t>
  </si>
  <si>
    <t>Monteur voor plaatsen kast</t>
  </si>
  <si>
    <t>Projectleider</t>
  </si>
  <si>
    <t>Tekenaar</t>
  </si>
  <si>
    <t>meter</t>
  </si>
  <si>
    <t>Aardlekautomaat merk … type …</t>
  </si>
  <si>
    <t>Kleinmateriaal</t>
  </si>
  <si>
    <t>Kabelgoot breedte … cm</t>
  </si>
  <si>
    <t>PV-panelen merk ... type …</t>
  </si>
  <si>
    <t>PV-installatie</t>
  </si>
  <si>
    <t>Overige kosten</t>
  </si>
  <si>
    <t>Duur van de opdracht: …………</t>
  </si>
  <si>
    <t>Lege kast merk …</t>
  </si>
  <si>
    <t>BTW 21%</t>
  </si>
  <si>
    <t>Totaal excl.BTW</t>
  </si>
  <si>
    <t>TOTAAL incl. BTW</t>
  </si>
  <si>
    <t>[rekeningnummer]</t>
  </si>
  <si>
    <t>[naam klant]</t>
  </si>
  <si>
    <t>Prijs ex. btw</t>
  </si>
  <si>
    <t>Bedrag ex. Btw</t>
  </si>
  <si>
    <t>Bekabeling van … naar ... YmVK a x b mm2</t>
  </si>
  <si>
    <t>Machine x</t>
  </si>
  <si>
    <t>Montagemateriaal Esdec Flatfix Fusion</t>
  </si>
  <si>
    <t>Kabelgoot type … t.b.v. bekabeling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</si>
</sst>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1" fillId="0" borderId="0" xfId="1" applyAlignment="1" applyProtection="1"/>
    <xf numFmtId="0" fontId="3" fillId="0" borderId="0" xfId="0" applyFont="1" applyAlignment="1">
      <alignment horizontal="left" vertical="top" wrapText="1"/>
    </xf>
    <xf numFmtId="44" fontId="0" fillId="0" borderId="0" xfId="0" applyNumberFormat="1"/>
    <xf numFmtId="44" fontId="3" fillId="0" borderId="0" xfId="0" applyNumberFormat="1" applyFont="1" applyAlignment="1">
      <alignment horizontal="right" vertical="top" wrapText="1"/>
    </xf>
    <xf numFmtId="44" fontId="2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44" fontId="4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44" fontId="4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44" fontId="3" fillId="0" borderId="0" xfId="0" applyNumberFormat="1" applyFont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44" fontId="3" fillId="0" borderId="0" xfId="0" applyNumberFormat="1" applyFont="1" applyAlignment="1">
      <alignment horizontal="right" vertical="center" wrapText="1"/>
    </xf>
    <xf numFmtId="2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4" fontId="4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44" fontId="3" fillId="0" borderId="1" xfId="0" applyNumberFormat="1" applyFont="1" applyBorder="1" applyAlignment="1">
      <alignment horizontal="right" vertical="top" wrapText="1"/>
    </xf>
    <xf numFmtId="0" fontId="3" fillId="0" borderId="0" xfId="0" applyFont="1" applyAlignment="1">
      <alignment vertical="top" wrapText="1"/>
    </xf>
    <xf numFmtId="44" fontId="0" fillId="0" borderId="0" xfId="0" applyNumberFormat="1" applyAlignment="1">
      <alignment horizontal="left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3</xdr:row>
      <xdr:rowOff>144780</xdr:rowOff>
    </xdr:from>
    <xdr:to>
      <xdr:col>5</xdr:col>
      <xdr:colOff>769620</xdr:colOff>
      <xdr:row>5</xdr:row>
      <xdr:rowOff>60960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335780" y="731520"/>
          <a:ext cx="148590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nl-NL" sz="1100"/>
            <a:t>[logo bedrijf]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15" workbookViewId="0">
      <selection activeCell="F26" sqref="F26"/>
    </sheetView>
  </sheetViews>
  <sheetFormatPr defaultColWidth="9.109375" defaultRowHeight="14.4" x14ac:dyDescent="0.3"/>
  <cols>
    <col min="1" max="1" width="40.6640625" customWidth="1"/>
    <col min="2" max="2" width="7.44140625" bestFit="1" customWidth="1"/>
    <col min="3" max="3" width="9.77734375" bestFit="1" customWidth="1"/>
    <col min="4" max="4" width="12.5546875" style="5" bestFit="1" customWidth="1"/>
    <col min="5" max="5" width="6.6640625" style="5" bestFit="1" customWidth="1"/>
    <col min="6" max="6" width="15.88671875" style="5" bestFit="1" customWidth="1"/>
  </cols>
  <sheetData>
    <row r="1" spans="1:6" x14ac:dyDescent="0.3">
      <c r="D1" s="29"/>
      <c r="E1" s="29"/>
      <c r="F1" s="29"/>
    </row>
    <row r="2" spans="1:6" ht="17.399999999999999" x14ac:dyDescent="0.3">
      <c r="A2" s="14" t="s">
        <v>7</v>
      </c>
      <c r="B2" s="1"/>
      <c r="C2" s="1"/>
      <c r="D2" s="29"/>
      <c r="E2" s="29"/>
      <c r="F2" s="29"/>
    </row>
    <row r="3" spans="1:6" x14ac:dyDescent="0.3">
      <c r="D3" s="29"/>
      <c r="E3" s="29"/>
      <c r="F3" s="29"/>
    </row>
    <row r="4" spans="1:6" x14ac:dyDescent="0.3">
      <c r="A4" s="8"/>
      <c r="B4" s="2"/>
      <c r="C4" s="2"/>
      <c r="D4" s="29"/>
      <c r="E4" s="29"/>
      <c r="F4" s="29"/>
    </row>
    <row r="5" spans="1:6" ht="15" customHeight="1" x14ac:dyDescent="0.3">
      <c r="A5" s="8" t="s">
        <v>8</v>
      </c>
      <c r="B5" s="2"/>
      <c r="C5" s="2"/>
      <c r="D5" s="29"/>
      <c r="E5" s="29"/>
      <c r="F5" s="29"/>
    </row>
    <row r="6" spans="1:6" ht="15" customHeight="1" x14ac:dyDescent="0.3">
      <c r="A6" s="8" t="s">
        <v>10</v>
      </c>
      <c r="B6" s="2"/>
      <c r="C6" s="2"/>
      <c r="D6" s="29"/>
      <c r="E6" s="29"/>
      <c r="F6" s="29"/>
    </row>
    <row r="7" spans="1:6" ht="15" customHeight="1" x14ac:dyDescent="0.3">
      <c r="A7" s="13" t="s">
        <v>9</v>
      </c>
      <c r="B7" s="1"/>
      <c r="C7" s="1"/>
      <c r="D7" s="29"/>
      <c r="E7" s="29"/>
      <c r="F7" s="29"/>
    </row>
    <row r="8" spans="1:6" ht="15" customHeight="1" x14ac:dyDescent="0.3">
      <c r="A8" s="8" t="s">
        <v>31</v>
      </c>
      <c r="B8" s="1"/>
      <c r="C8" s="1"/>
      <c r="D8" s="29"/>
      <c r="E8" s="29"/>
      <c r="F8" s="29"/>
    </row>
    <row r="9" spans="1:6" x14ac:dyDescent="0.3">
      <c r="A9" s="8"/>
      <c r="B9" s="2"/>
      <c r="C9" s="2"/>
      <c r="D9" s="29"/>
      <c r="E9" s="29"/>
      <c r="F9" s="29"/>
    </row>
    <row r="10" spans="1:6" ht="15" customHeight="1" x14ac:dyDescent="0.3">
      <c r="A10" s="8"/>
      <c r="B10" s="2"/>
      <c r="C10" s="2"/>
      <c r="D10" s="30" t="s">
        <v>11</v>
      </c>
      <c r="E10" s="30"/>
      <c r="F10" s="30"/>
    </row>
    <row r="11" spans="1:6" ht="15" customHeight="1" x14ac:dyDescent="0.3">
      <c r="A11" s="8"/>
      <c r="B11" s="2"/>
      <c r="C11" s="2"/>
      <c r="D11" s="31" t="s">
        <v>6</v>
      </c>
      <c r="E11" s="31"/>
      <c r="F11" s="31"/>
    </row>
    <row r="12" spans="1:6" ht="15" customHeight="1" x14ac:dyDescent="0.3">
      <c r="A12" s="8"/>
      <c r="B12" s="2"/>
      <c r="C12" s="2"/>
      <c r="D12" s="30" t="s">
        <v>3</v>
      </c>
      <c r="E12" s="30"/>
      <c r="F12" s="30"/>
    </row>
    <row r="13" spans="1:6" ht="15" customHeight="1" x14ac:dyDescent="0.3">
      <c r="A13" s="8" t="s">
        <v>12</v>
      </c>
      <c r="B13" s="2"/>
      <c r="C13" s="2"/>
      <c r="D13" s="30" t="s">
        <v>4</v>
      </c>
      <c r="E13" s="30"/>
      <c r="F13" s="30"/>
    </row>
    <row r="14" spans="1:6" ht="15" customHeight="1" x14ac:dyDescent="0.3">
      <c r="A14" s="8" t="s">
        <v>37</v>
      </c>
      <c r="B14" s="2"/>
      <c r="C14" s="2"/>
      <c r="D14" s="30" t="s">
        <v>5</v>
      </c>
      <c r="E14" s="30"/>
      <c r="F14" s="30"/>
    </row>
    <row r="15" spans="1:6" ht="15" customHeight="1" x14ac:dyDescent="0.3">
      <c r="A15" s="13" t="s">
        <v>6</v>
      </c>
      <c r="B15" s="31" t="s">
        <v>36</v>
      </c>
      <c r="C15" s="31"/>
      <c r="D15" s="31"/>
      <c r="E15" s="31"/>
      <c r="F15" s="31"/>
    </row>
    <row r="16" spans="1:6" ht="15" customHeight="1" x14ac:dyDescent="0.3">
      <c r="A16" s="8" t="s">
        <v>3</v>
      </c>
      <c r="B16" s="2"/>
      <c r="C16" s="2"/>
      <c r="D16" s="30"/>
      <c r="E16" s="30"/>
      <c r="F16" s="30"/>
    </row>
    <row r="17" spans="1:9" x14ac:dyDescent="0.3">
      <c r="A17" s="8" t="s">
        <v>4</v>
      </c>
      <c r="B17" s="30"/>
      <c r="C17" s="30"/>
      <c r="D17" s="30"/>
      <c r="E17" s="30"/>
      <c r="F17" s="30"/>
      <c r="H17" s="3"/>
    </row>
    <row r="18" spans="1:9" ht="15" customHeight="1" x14ac:dyDescent="0.3">
      <c r="A18" s="8" t="s">
        <v>5</v>
      </c>
      <c r="B18" s="2"/>
      <c r="C18" s="2"/>
      <c r="D18" s="2"/>
      <c r="E18" s="2"/>
      <c r="F18" s="2"/>
    </row>
    <row r="19" spans="1:9" x14ac:dyDescent="0.3">
      <c r="A19" s="4"/>
      <c r="B19" s="2"/>
      <c r="C19" s="2"/>
      <c r="D19" s="2"/>
      <c r="E19" s="2"/>
      <c r="F19" s="2"/>
    </row>
    <row r="21" spans="1:9" ht="15" customHeight="1" x14ac:dyDescent="0.3">
      <c r="A21" s="15" t="s">
        <v>0</v>
      </c>
      <c r="B21" s="16" t="s">
        <v>1</v>
      </c>
      <c r="C21" s="16" t="s">
        <v>13</v>
      </c>
      <c r="D21" s="17" t="s">
        <v>38</v>
      </c>
      <c r="E21" s="17" t="s">
        <v>19</v>
      </c>
      <c r="F21" s="17" t="s">
        <v>39</v>
      </c>
    </row>
    <row r="22" spans="1:9" ht="19.95" customHeight="1" x14ac:dyDescent="0.3">
      <c r="A22" s="26" t="s">
        <v>29</v>
      </c>
      <c r="B22" s="9"/>
      <c r="C22" s="9"/>
      <c r="D22" s="25"/>
      <c r="E22" s="25"/>
      <c r="F22" s="25"/>
    </row>
    <row r="23" spans="1:9" s="24" customFormat="1" ht="19.95" customHeight="1" x14ac:dyDescent="0.3">
      <c r="A23" s="18" t="s">
        <v>28</v>
      </c>
      <c r="B23" s="19">
        <v>12</v>
      </c>
      <c r="C23" s="19" t="s">
        <v>14</v>
      </c>
      <c r="D23" s="20">
        <v>175</v>
      </c>
      <c r="E23" s="21">
        <v>0.21</v>
      </c>
      <c r="F23" s="22">
        <f>B23*D23</f>
        <v>2100</v>
      </c>
      <c r="G23" s="23"/>
      <c r="H23" s="23"/>
      <c r="I23" s="23"/>
    </row>
    <row r="24" spans="1:9" s="24" customFormat="1" ht="19.95" customHeight="1" x14ac:dyDescent="0.3">
      <c r="A24" s="18" t="s">
        <v>42</v>
      </c>
      <c r="B24" s="19">
        <v>12</v>
      </c>
      <c r="C24" s="19" t="s">
        <v>14</v>
      </c>
      <c r="D24" s="20">
        <v>125</v>
      </c>
      <c r="E24" s="21">
        <v>0.21</v>
      </c>
      <c r="F24" s="22">
        <f>B24*D24</f>
        <v>1500</v>
      </c>
      <c r="G24" s="23"/>
      <c r="H24" s="23"/>
      <c r="I24" s="23"/>
    </row>
    <row r="25" spans="1:9" s="24" customFormat="1" ht="19.95" customHeight="1" x14ac:dyDescent="0.3">
      <c r="A25" s="18" t="s">
        <v>40</v>
      </c>
      <c r="B25" s="19">
        <v>25</v>
      </c>
      <c r="C25" s="19" t="s">
        <v>24</v>
      </c>
      <c r="D25" s="20">
        <v>3</v>
      </c>
      <c r="E25" s="21">
        <v>0.21</v>
      </c>
      <c r="F25" s="22">
        <f t="shared" ref="F25:F36" si="0">B25*D25</f>
        <v>75</v>
      </c>
      <c r="G25" s="23"/>
      <c r="H25" s="23"/>
      <c r="I25" s="23"/>
    </row>
    <row r="26" spans="1:9" s="24" customFormat="1" ht="19.95" customHeight="1" x14ac:dyDescent="0.3">
      <c r="A26" s="18" t="s">
        <v>43</v>
      </c>
      <c r="B26" s="19">
        <v>35</v>
      </c>
      <c r="C26" s="19" t="s">
        <v>24</v>
      </c>
      <c r="D26" s="20">
        <v>3.5</v>
      </c>
      <c r="E26" s="21">
        <v>0.21</v>
      </c>
      <c r="F26" s="22">
        <f t="shared" si="0"/>
        <v>122.5</v>
      </c>
      <c r="G26" s="23"/>
      <c r="H26" s="23"/>
      <c r="I26" s="23"/>
    </row>
    <row r="27" spans="1:9" s="24" customFormat="1" ht="19.95" customHeight="1" x14ac:dyDescent="0.3">
      <c r="A27" s="18" t="s">
        <v>25</v>
      </c>
      <c r="B27" s="19">
        <v>1</v>
      </c>
      <c r="C27" s="19" t="s">
        <v>14</v>
      </c>
      <c r="D27" s="20">
        <v>60</v>
      </c>
      <c r="E27" s="21">
        <v>0.21</v>
      </c>
      <c r="F27" s="22">
        <f t="shared" si="0"/>
        <v>60</v>
      </c>
      <c r="G27" s="23"/>
      <c r="H27" s="23"/>
      <c r="I27" s="23"/>
    </row>
    <row r="28" spans="1:9" s="24" customFormat="1" ht="19.95" customHeight="1" x14ac:dyDescent="0.3">
      <c r="A28" s="18" t="s">
        <v>26</v>
      </c>
      <c r="B28" s="19">
        <v>1</v>
      </c>
      <c r="C28" s="19" t="s">
        <v>14</v>
      </c>
      <c r="D28" s="20">
        <v>25</v>
      </c>
      <c r="E28" s="21">
        <v>0.21</v>
      </c>
      <c r="F28" s="22">
        <f t="shared" si="0"/>
        <v>25</v>
      </c>
      <c r="G28" s="23"/>
      <c r="H28" s="23"/>
      <c r="I28" s="23"/>
    </row>
    <row r="29" spans="1:9" s="24" customFormat="1" ht="19.95" customHeight="1" x14ac:dyDescent="0.3">
      <c r="A29" s="18" t="s">
        <v>20</v>
      </c>
      <c r="B29" s="19">
        <v>14</v>
      </c>
      <c r="C29" s="19" t="s">
        <v>15</v>
      </c>
      <c r="D29" s="20">
        <v>55</v>
      </c>
      <c r="E29" s="21">
        <v>0.21</v>
      </c>
      <c r="F29" s="22">
        <f t="shared" ref="F29" si="1">B29*D29</f>
        <v>770</v>
      </c>
      <c r="G29" s="23"/>
      <c r="H29" s="23"/>
      <c r="I29" s="23"/>
    </row>
    <row r="30" spans="1:9" s="24" customFormat="1" ht="19.95" customHeight="1" x14ac:dyDescent="0.3">
      <c r="A30" s="18"/>
      <c r="B30" s="19"/>
      <c r="C30" s="19"/>
      <c r="D30" s="20"/>
      <c r="E30" s="21"/>
      <c r="F30" s="22"/>
      <c r="G30" s="23"/>
      <c r="H30" s="23"/>
      <c r="I30" s="23"/>
    </row>
    <row r="31" spans="1:9" s="24" customFormat="1" ht="19.95" customHeight="1" x14ac:dyDescent="0.3">
      <c r="A31" s="26" t="s">
        <v>41</v>
      </c>
      <c r="B31" s="19"/>
      <c r="C31" s="19"/>
      <c r="D31" s="20"/>
      <c r="E31" s="21"/>
      <c r="F31" s="22"/>
      <c r="G31" s="23"/>
      <c r="H31" s="23"/>
      <c r="I31" s="23"/>
    </row>
    <row r="32" spans="1:9" s="24" customFormat="1" ht="19.95" customHeight="1" x14ac:dyDescent="0.3">
      <c r="A32" s="18" t="s">
        <v>40</v>
      </c>
      <c r="B32" s="19">
        <v>25</v>
      </c>
      <c r="C32" s="19" t="s">
        <v>24</v>
      </c>
      <c r="D32" s="20">
        <v>3</v>
      </c>
      <c r="E32" s="21">
        <v>0.21</v>
      </c>
      <c r="F32" s="22">
        <f t="shared" si="0"/>
        <v>75</v>
      </c>
      <c r="G32" s="23"/>
      <c r="H32" s="23"/>
      <c r="I32" s="23"/>
    </row>
    <row r="33" spans="1:9" s="24" customFormat="1" ht="19.95" customHeight="1" x14ac:dyDescent="0.3">
      <c r="A33" s="18" t="s">
        <v>27</v>
      </c>
      <c r="B33" s="19">
        <v>20</v>
      </c>
      <c r="C33" s="19" t="s">
        <v>24</v>
      </c>
      <c r="D33" s="20">
        <v>9.5</v>
      </c>
      <c r="E33" s="21">
        <v>0.21</v>
      </c>
      <c r="F33" s="22">
        <f t="shared" si="0"/>
        <v>190</v>
      </c>
      <c r="G33" s="23"/>
      <c r="H33" s="23"/>
      <c r="I33" s="23"/>
    </row>
    <row r="34" spans="1:9" s="24" customFormat="1" ht="19.95" customHeight="1" x14ac:dyDescent="0.3">
      <c r="A34" s="18" t="s">
        <v>25</v>
      </c>
      <c r="B34" s="19">
        <v>2</v>
      </c>
      <c r="C34" s="19" t="s">
        <v>14</v>
      </c>
      <c r="D34" s="20">
        <v>15</v>
      </c>
      <c r="E34" s="21">
        <v>0.21</v>
      </c>
      <c r="F34" s="22">
        <f t="shared" si="0"/>
        <v>30</v>
      </c>
      <c r="G34" s="23"/>
      <c r="H34" s="23"/>
      <c r="I34" s="23"/>
    </row>
    <row r="35" spans="1:9" s="24" customFormat="1" ht="19.95" customHeight="1" x14ac:dyDescent="0.3">
      <c r="A35" s="18" t="s">
        <v>32</v>
      </c>
      <c r="B35" s="19">
        <v>1</v>
      </c>
      <c r="C35" s="19" t="s">
        <v>14</v>
      </c>
      <c r="D35" s="20">
        <v>95</v>
      </c>
      <c r="E35" s="21">
        <v>0.21</v>
      </c>
      <c r="F35" s="22">
        <f t="shared" si="0"/>
        <v>95</v>
      </c>
      <c r="G35" s="23"/>
      <c r="H35" s="23"/>
      <c r="I35" s="23"/>
    </row>
    <row r="36" spans="1:9" s="24" customFormat="1" ht="19.95" customHeight="1" x14ac:dyDescent="0.3">
      <c r="A36" s="18" t="s">
        <v>26</v>
      </c>
      <c r="B36" s="19">
        <v>1</v>
      </c>
      <c r="C36" s="19" t="s">
        <v>14</v>
      </c>
      <c r="D36" s="20">
        <v>60</v>
      </c>
      <c r="E36" s="21">
        <v>0.21</v>
      </c>
      <c r="F36" s="22">
        <f t="shared" si="0"/>
        <v>60</v>
      </c>
      <c r="G36" s="23"/>
      <c r="H36" s="23"/>
      <c r="I36" s="23"/>
    </row>
    <row r="37" spans="1:9" s="24" customFormat="1" ht="19.95" customHeight="1" x14ac:dyDescent="0.3">
      <c r="A37" s="18" t="s">
        <v>21</v>
      </c>
      <c r="B37" s="19">
        <v>4</v>
      </c>
      <c r="C37" s="19" t="s">
        <v>15</v>
      </c>
      <c r="D37" s="20">
        <v>55</v>
      </c>
      <c r="E37" s="21">
        <v>0.21</v>
      </c>
      <c r="F37" s="22">
        <f t="shared" ref="F37:F41" si="2">B37*D37</f>
        <v>220</v>
      </c>
      <c r="G37" s="23"/>
      <c r="H37" s="23"/>
      <c r="I37" s="23"/>
    </row>
    <row r="38" spans="1:9" s="24" customFormat="1" ht="19.95" customHeight="1" x14ac:dyDescent="0.3">
      <c r="A38" s="18"/>
      <c r="B38" s="19"/>
      <c r="C38" s="19"/>
      <c r="D38" s="20"/>
      <c r="E38" s="21"/>
      <c r="F38" s="22"/>
      <c r="G38" s="23"/>
      <c r="H38" s="23"/>
      <c r="I38" s="23"/>
    </row>
    <row r="39" spans="1:9" s="24" customFormat="1" ht="19.95" customHeight="1" x14ac:dyDescent="0.3">
      <c r="A39" s="26" t="s">
        <v>30</v>
      </c>
      <c r="B39" s="19"/>
      <c r="C39" s="19"/>
      <c r="D39" s="20"/>
      <c r="E39" s="21"/>
      <c r="F39" s="22"/>
      <c r="G39" s="23"/>
      <c r="H39" s="23"/>
      <c r="I39" s="23"/>
    </row>
    <row r="40" spans="1:9" s="24" customFormat="1" ht="19.95" customHeight="1" x14ac:dyDescent="0.3">
      <c r="A40" s="18" t="s">
        <v>23</v>
      </c>
      <c r="B40" s="19">
        <v>3</v>
      </c>
      <c r="C40" s="19" t="s">
        <v>15</v>
      </c>
      <c r="D40" s="20">
        <v>65</v>
      </c>
      <c r="E40" s="21">
        <v>0.21</v>
      </c>
      <c r="F40" s="22">
        <f t="shared" ref="F40" si="3">B40*D40</f>
        <v>195</v>
      </c>
      <c r="G40" s="23"/>
      <c r="H40" s="23"/>
      <c r="I40" s="23"/>
    </row>
    <row r="41" spans="1:9" s="24" customFormat="1" ht="19.95" customHeight="1" x14ac:dyDescent="0.3">
      <c r="A41" s="18" t="s">
        <v>22</v>
      </c>
      <c r="B41" s="19">
        <v>4</v>
      </c>
      <c r="C41" s="19" t="s">
        <v>15</v>
      </c>
      <c r="D41" s="20">
        <v>90</v>
      </c>
      <c r="E41" s="21">
        <v>0.21</v>
      </c>
      <c r="F41" s="22">
        <f t="shared" si="2"/>
        <v>360</v>
      </c>
    </row>
    <row r="42" spans="1:9" ht="15" customHeight="1" x14ac:dyDescent="0.3">
      <c r="A42" s="8"/>
      <c r="B42" s="9"/>
      <c r="C42" s="9"/>
      <c r="D42" s="9"/>
      <c r="E42" s="9"/>
      <c r="F42" s="10"/>
    </row>
    <row r="43" spans="1:9" ht="15" customHeight="1" x14ac:dyDescent="0.3">
      <c r="A43" s="8"/>
      <c r="B43" s="28" t="s">
        <v>17</v>
      </c>
      <c r="C43" s="28"/>
      <c r="D43" s="28"/>
      <c r="E43" s="8"/>
      <c r="F43" s="6">
        <f>SUMIFS(F23:F41,C23:C41,"uur")</f>
        <v>1545</v>
      </c>
      <c r="H43" s="5"/>
    </row>
    <row r="44" spans="1:9" ht="15" customHeight="1" x14ac:dyDescent="0.3">
      <c r="A44" s="8"/>
      <c r="B44" s="28" t="s">
        <v>18</v>
      </c>
      <c r="C44" s="28"/>
      <c r="D44" s="28"/>
      <c r="E44" s="8"/>
      <c r="F44" s="27">
        <f>SUM(F23:F41)-F43</f>
        <v>4332.5</v>
      </c>
      <c r="H44" s="5"/>
    </row>
    <row r="45" spans="1:9" ht="15" customHeight="1" x14ac:dyDescent="0.3">
      <c r="A45" s="8"/>
      <c r="B45" s="33" t="s">
        <v>34</v>
      </c>
      <c r="C45" s="33"/>
      <c r="D45" s="33"/>
      <c r="E45" s="11"/>
      <c r="F45" s="10">
        <f>SUM(F43:F44)</f>
        <v>5877.5</v>
      </c>
      <c r="H45" s="5"/>
    </row>
    <row r="46" spans="1:9" ht="15" customHeight="1" x14ac:dyDescent="0.3">
      <c r="B46" s="28" t="s">
        <v>33</v>
      </c>
      <c r="C46" s="28"/>
      <c r="D46" s="28"/>
      <c r="E46" s="8"/>
      <c r="F46" s="6">
        <f>SUMIFS(F23:F41,E23:E41,"21%")*0.21</f>
        <v>1234.2749999999999</v>
      </c>
    </row>
    <row r="47" spans="1:9" ht="15" customHeight="1" x14ac:dyDescent="0.3">
      <c r="B47" s="32" t="s">
        <v>16</v>
      </c>
      <c r="C47" s="32"/>
      <c r="D47" s="32"/>
      <c r="E47" s="4"/>
      <c r="F47" s="27">
        <f>SUM(F45:F46)*0.1</f>
        <v>711.17750000000001</v>
      </c>
    </row>
    <row r="48" spans="1:9" ht="15.75" customHeight="1" x14ac:dyDescent="0.3">
      <c r="B48" s="33" t="s">
        <v>35</v>
      </c>
      <c r="C48" s="33"/>
      <c r="D48" s="33"/>
      <c r="E48" s="12"/>
      <c r="F48" s="7">
        <f>SUM(F45:F47)</f>
        <v>7822.9524999999994</v>
      </c>
    </row>
    <row r="52" spans="1:6" x14ac:dyDescent="0.3">
      <c r="A52" s="34" t="s">
        <v>2</v>
      </c>
      <c r="B52" s="34"/>
      <c r="C52" s="34"/>
      <c r="D52" s="34"/>
      <c r="E52" s="34"/>
      <c r="F52" s="34"/>
    </row>
    <row r="53" spans="1:6" x14ac:dyDescent="0.3">
      <c r="A53" s="35"/>
      <c r="B53" s="35"/>
      <c r="C53" s="35"/>
      <c r="D53" s="35"/>
      <c r="E53" s="35"/>
      <c r="F53" s="35"/>
    </row>
  </sheetData>
  <mergeCells count="17">
    <mergeCell ref="B47:D47"/>
    <mergeCell ref="B44:D44"/>
    <mergeCell ref="B45:D45"/>
    <mergeCell ref="A52:F52"/>
    <mergeCell ref="A53:F53"/>
    <mergeCell ref="B46:D46"/>
    <mergeCell ref="B48:D48"/>
    <mergeCell ref="B43:D43"/>
    <mergeCell ref="D1:F9"/>
    <mergeCell ref="B17:F17"/>
    <mergeCell ref="D16:F16"/>
    <mergeCell ref="D12:F12"/>
    <mergeCell ref="D13:F13"/>
    <mergeCell ref="D14:F14"/>
    <mergeCell ref="D10:F10"/>
    <mergeCell ref="D11:F11"/>
    <mergeCell ref="B15:F15"/>
  </mergeCells>
  <dataValidations count="1">
    <dataValidation type="list" allowBlank="1" showInputMessage="1" showErrorMessage="1" sqref="C23:C41" xr:uid="{00000000-0002-0000-0000-000000000000}">
      <formula1>"uur,stuk(s),meter"</formula1>
    </dataValidation>
  </dataValidations>
  <pageMargins left="0.7" right="0.7" top="0.75" bottom="0.75" header="0.3" footer="0.3"/>
  <pageSetup paperSize="2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 de Vries</cp:lastModifiedBy>
  <cp:lastPrinted>2016-09-01T08:13:23Z</cp:lastPrinted>
  <dcterms:created xsi:type="dcterms:W3CDTF">2011-09-13T13:16:54Z</dcterms:created>
  <dcterms:modified xsi:type="dcterms:W3CDTF">2024-01-25T13:15:12Z</dcterms:modified>
</cp:coreProperties>
</file>