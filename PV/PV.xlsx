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drost\source\repos\Project-laagspanning\PV\"/>
    </mc:Choice>
  </mc:AlternateContent>
  <xr:revisionPtr revIDLastSave="0" documentId="13_ncr:1_{0E3DB9BD-07E6-4AD4-9DF6-F83EE32E7101}" xr6:coauthVersionLast="47" xr6:coauthVersionMax="47" xr10:uidLastSave="{00000000-0000-0000-0000-000000000000}"/>
  <bookViews>
    <workbookView xWindow="-120" yWindow="-120" windowWidth="29040" windowHeight="15720" activeTab="2" xr2:uid="{00000000-000D-0000-FFFF-FFFF00000000}"/>
  </bookViews>
  <sheets>
    <sheet name="DC legplan" sheetId="1" r:id="rId1"/>
    <sheet name="Berekeningen"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0" i="1" l="1"/>
  <c r="O10" i="1"/>
  <c r="H10" i="1"/>
  <c r="W9" i="1"/>
  <c r="P9" i="1"/>
  <c r="I9" i="1"/>
  <c r="W8" i="1"/>
  <c r="P8" i="1"/>
  <c r="I8" i="1"/>
  <c r="W7" i="1"/>
  <c r="P7" i="1"/>
  <c r="I7" i="1"/>
  <c r="W6" i="1"/>
  <c r="P6" i="1"/>
  <c r="I6" i="1"/>
  <c r="W5" i="1"/>
  <c r="P5" i="1"/>
  <c r="I5" i="1"/>
  <c r="W4" i="1"/>
  <c r="P4" i="1"/>
  <c r="I4" i="1"/>
  <c r="W3" i="1"/>
  <c r="P3" i="1"/>
  <c r="I3" i="1"/>
  <c r="W2" i="1"/>
  <c r="P2" i="1"/>
  <c r="I2" i="1"/>
</calcChain>
</file>

<file path=xl/sharedStrings.xml><?xml version="1.0" encoding="utf-8"?>
<sst xmlns="http://schemas.openxmlformats.org/spreadsheetml/2006/main" count="440" uniqueCount="425">
  <si>
    <t>nr</t>
  </si>
  <si>
    <t>mppt</t>
  </si>
  <si>
    <t>string</t>
  </si>
  <si>
    <t>aantal</t>
  </si>
  <si>
    <t>Volt</t>
  </si>
  <si>
    <t>Inverter</t>
  </si>
  <si>
    <t>Aantal panelen:</t>
  </si>
  <si>
    <t>Dakvlak 1</t>
  </si>
  <si>
    <t>Dakvlak 2</t>
  </si>
  <si>
    <t>Dakvlak 3</t>
  </si>
  <si>
    <t>Inv 01-01-01-01</t>
  </si>
  <si>
    <t>Inv 01-01-01-02</t>
  </si>
  <si>
    <t>Inv 01-01-01-03</t>
  </si>
  <si>
    <t>Inv 01-01-01-04</t>
  </si>
  <si>
    <t>Inv 01-02-04-01</t>
  </si>
  <si>
    <t>Inv 01-02-04-02</t>
  </si>
  <si>
    <t>Inv 01-02-04-03</t>
  </si>
  <si>
    <t>Inv 01-02-04-04</t>
  </si>
  <si>
    <t>Inv 02-01-09-01</t>
  </si>
  <si>
    <t>Inv 02-01-09-02</t>
  </si>
  <si>
    <t>Inv 02-01-09-03</t>
  </si>
  <si>
    <t>Inv 02-01-09-04</t>
  </si>
  <si>
    <t>Inv 01-01-01-05</t>
  </si>
  <si>
    <t>Inv 01-01-01-06</t>
  </si>
  <si>
    <t>Inv 01-01-01-07</t>
  </si>
  <si>
    <t>Inv 01-01-01-08</t>
  </si>
  <si>
    <t>Inv 01-02-04-05</t>
  </si>
  <si>
    <t>Inv 01-02-04-06</t>
  </si>
  <si>
    <t>Inv 01-02-04-07</t>
  </si>
  <si>
    <t>Inv 01-02-04-08</t>
  </si>
  <si>
    <t>Inv 02-01-09-05</t>
  </si>
  <si>
    <t>Inv 02-01-09-06</t>
  </si>
  <si>
    <t>Inv 02-01-09-07</t>
  </si>
  <si>
    <t>Inv 02-01-09-10</t>
  </si>
  <si>
    <t>Inv 01-01-01-09</t>
  </si>
  <si>
    <t>Inv 01-01-01-10</t>
  </si>
  <si>
    <t>Inv 01-01-01-11</t>
  </si>
  <si>
    <t>Inv 01-01-01-12</t>
  </si>
  <si>
    <t>Inv 01-02-04-09</t>
  </si>
  <si>
    <t>Inv 01-02-04-10</t>
  </si>
  <si>
    <t>Inv 01-02-04-11</t>
  </si>
  <si>
    <t>Inv 01-02-04-12</t>
  </si>
  <si>
    <t>Inv 02-01-09-09</t>
  </si>
  <si>
    <t>Inv 02-01-09-11</t>
  </si>
  <si>
    <t>Inv 02-01-09-16</t>
  </si>
  <si>
    <t>Inv 01-01-01-13</t>
  </si>
  <si>
    <t>Inv 01-01-01-14</t>
  </si>
  <si>
    <t>Inv 01-01-01-15</t>
  </si>
  <si>
    <t>Inv 01-01-01-16</t>
  </si>
  <si>
    <t>Inv 01-02-04-13</t>
  </si>
  <si>
    <t>Inv 01-02-04-14</t>
  </si>
  <si>
    <t>Inv 01-03-05-01</t>
  </si>
  <si>
    <t>Inv 01-03-05-02</t>
  </si>
  <si>
    <t>Inv 02-01-09-13</t>
  </si>
  <si>
    <t>Inv 02-01-09-14</t>
  </si>
  <si>
    <t>Inv 02-01-09-15</t>
  </si>
  <si>
    <t>Inv 02-01-09-22</t>
  </si>
  <si>
    <t>Inv 01-01-01-17</t>
  </si>
  <si>
    <t>Inv 01-01-01-18</t>
  </si>
  <si>
    <t>Inv 01-01-01-19</t>
  </si>
  <si>
    <t>Inv 01-01-01-20</t>
  </si>
  <si>
    <t>Inv 01-03-05-03</t>
  </si>
  <si>
    <t>Inv 01-03-05-04</t>
  </si>
  <si>
    <t>Inv 01-03-05-05</t>
  </si>
  <si>
    <t>Inv 01-03-05-06</t>
  </si>
  <si>
    <t>Inv 02-01-09-17</t>
  </si>
  <si>
    <t>Inv 02-01-09-18</t>
  </si>
  <si>
    <t>Inv 02-01-09-19</t>
  </si>
  <si>
    <t>Inv 02-01-09-28</t>
  </si>
  <si>
    <t>Inv 01-03-05-07</t>
  </si>
  <si>
    <t>Inv 01-03-05-08</t>
  </si>
  <si>
    <t>Inv 01-03-05-09</t>
  </si>
  <si>
    <t>Inv 01-03-05-10</t>
  </si>
  <si>
    <t>Inv 02-01-10-01</t>
  </si>
  <si>
    <t>Inv 02-01-10-02</t>
  </si>
  <si>
    <t>Inv 02-01-10-03</t>
  </si>
  <si>
    <t>Inv 02-01-10-04</t>
  </si>
  <si>
    <t>Inv 01-01-02-01</t>
  </si>
  <si>
    <t>Inv 01-01-02-02</t>
  </si>
  <si>
    <t>Inv 01-01-02-03</t>
  </si>
  <si>
    <t>Inv 01-01-02-04</t>
  </si>
  <si>
    <t>Inv 01-03-05-11</t>
  </si>
  <si>
    <t>Inv 01-03-05-12</t>
  </si>
  <si>
    <t>Inv 01-03-05-13</t>
  </si>
  <si>
    <t>Inv 01-03-05-14</t>
  </si>
  <si>
    <t>Inv 02-01-10-05</t>
  </si>
  <si>
    <t>Inv 02-01-10-06</t>
  </si>
  <si>
    <t>Inv 02-01-10-07</t>
  </si>
  <si>
    <t>Inv 02-01-10-08</t>
  </si>
  <si>
    <t>Inv 01-01-02-05</t>
  </si>
  <si>
    <t>Inv 01-01-02-06</t>
  </si>
  <si>
    <t>Inv 01-01-02-07</t>
  </si>
  <si>
    <t>Inv 01-01-02-08</t>
  </si>
  <si>
    <t>Inv 01-03-05-15</t>
  </si>
  <si>
    <t>Inv 01-03-05-16</t>
  </si>
  <si>
    <t>Inv 01-03-05-17</t>
  </si>
  <si>
    <t>Inv 01-03-05-18</t>
  </si>
  <si>
    <t>Inv 02-01-10-09</t>
  </si>
  <si>
    <t>Inv 02-01-10-10</t>
  </si>
  <si>
    <t>Inv 02-01-10-11</t>
  </si>
  <si>
    <t>Inv 02-01-10-12</t>
  </si>
  <si>
    <t>Inv 01-01-02-09</t>
  </si>
  <si>
    <t>Inv 01-01-02-10</t>
  </si>
  <si>
    <t>Inv 01-01-02-11</t>
  </si>
  <si>
    <t>Inv 01-01-02-12</t>
  </si>
  <si>
    <t>Inv 01-03-05-19</t>
  </si>
  <si>
    <t>Inv 01-03-05-20</t>
  </si>
  <si>
    <t>Inv 01-03-05-21</t>
  </si>
  <si>
    <t>Inv 01-03-05-22</t>
  </si>
  <si>
    <t>Inv 02-01-10-13</t>
  </si>
  <si>
    <t>Inv 02-01-10-14</t>
  </si>
  <si>
    <t>Inv 02-01-10-15</t>
  </si>
  <si>
    <t>Inv 02-01-10-16</t>
  </si>
  <si>
    <t>Inv 01-01-02-13</t>
  </si>
  <si>
    <t>Inv 01-01-02-14</t>
  </si>
  <si>
    <t>Inv 01-01-02-15</t>
  </si>
  <si>
    <t>Inv 01-01-02-16</t>
  </si>
  <si>
    <t>Inv 02-01-10-17</t>
  </si>
  <si>
    <t>Inv 02-01-10-18</t>
  </si>
  <si>
    <t>Inv 02-01-10-19</t>
  </si>
  <si>
    <t>Inv 02-01-10-20</t>
  </si>
  <si>
    <t>Inv 01-01-02-17</t>
  </si>
  <si>
    <t>Inv 01-01-02-18</t>
  </si>
  <si>
    <t>Inv 01-02-03-01</t>
  </si>
  <si>
    <t>Inv 01-02-03-02</t>
  </si>
  <si>
    <t>Inv 01-03-06-01</t>
  </si>
  <si>
    <t>Inv 01-03-06-02</t>
  </si>
  <si>
    <t>Inv 01-03-06-03</t>
  </si>
  <si>
    <t>Inv 01-03-06-04</t>
  </si>
  <si>
    <t>Inv 01-02-03-03</t>
  </si>
  <si>
    <t>Inv 01-02-03-04</t>
  </si>
  <si>
    <t>Inv 01-02-03-05</t>
  </si>
  <si>
    <t>Inv 01-02-03-06</t>
  </si>
  <si>
    <t>Inv 01-03-06-05</t>
  </si>
  <si>
    <t>Inv 01-03-06-06</t>
  </si>
  <si>
    <t>Inv 01-03-06-07</t>
  </si>
  <si>
    <t>Inv 01-03-06-08</t>
  </si>
  <si>
    <t>Inv 01-02-03-07</t>
  </si>
  <si>
    <t>Inv 01-02-03-08</t>
  </si>
  <si>
    <t>Inv 01-02-03-09</t>
  </si>
  <si>
    <t>Inv 01-02-03-10</t>
  </si>
  <si>
    <t>Inv 01-03-06-09</t>
  </si>
  <si>
    <t>Inv 01-03-06-10</t>
  </si>
  <si>
    <t>Inv 01-03-06-11</t>
  </si>
  <si>
    <t>Inv 01-03-06-12</t>
  </si>
  <si>
    <t>Inv 01-02-03-11</t>
  </si>
  <si>
    <t>Inv 01-02-03-12</t>
  </si>
  <si>
    <t>Inv 01-02-03-13</t>
  </si>
  <si>
    <t>Inv 01-02-03-14</t>
  </si>
  <si>
    <t>Inv 01-03-06-13</t>
  </si>
  <si>
    <t>Inv 01-03-06-14</t>
  </si>
  <si>
    <t>Inv 01-03-06-15</t>
  </si>
  <si>
    <t>Inv 01-03-06-16</t>
  </si>
  <si>
    <t>Inv 01-03-06-17</t>
  </si>
  <si>
    <t>Inv 01-03-06-18</t>
  </si>
  <si>
    <t>Inv 01-03-06-19</t>
  </si>
  <si>
    <t>Inv 01-03-06-20</t>
  </si>
  <si>
    <t>Inv 01-03-06-21</t>
  </si>
  <si>
    <t>Inv 01-03-06-22</t>
  </si>
  <si>
    <t>Inv 01-04-07-01</t>
  </si>
  <si>
    <t>Inv 01-04-07-02</t>
  </si>
  <si>
    <t>Inv 01-04-07-03</t>
  </si>
  <si>
    <t>Inv 01-04-07-04</t>
  </si>
  <si>
    <t>Inv 01-04-07-05</t>
  </si>
  <si>
    <t>Inv 01-04-07-06</t>
  </si>
  <si>
    <t>Inv 01-04-07-07</t>
  </si>
  <si>
    <t>Inv 01-04-07-08</t>
  </si>
  <si>
    <t>Inv 01-04-07-09</t>
  </si>
  <si>
    <t>Inv 01-04-07-10</t>
  </si>
  <si>
    <t>Inv 01-04-07-11</t>
  </si>
  <si>
    <t>Inv 01-04-07-12</t>
  </si>
  <si>
    <t>Inv 01-04-07-13</t>
  </si>
  <si>
    <t>Inv 01-04-07-14</t>
  </si>
  <si>
    <t>Inv 01-04-07-15</t>
  </si>
  <si>
    <t>Inv 01-04-07-16</t>
  </si>
  <si>
    <t>Inv 01-04-07-17</t>
  </si>
  <si>
    <t>Inv 01-04-07-18</t>
  </si>
  <si>
    <t>Inv 01-04-07-19</t>
  </si>
  <si>
    <t>Inv 01-04-07-20</t>
  </si>
  <si>
    <t>Inv 01-04-07-21</t>
  </si>
  <si>
    <t>Inv 01-04-07-22</t>
  </si>
  <si>
    <t>Dakvlak 4</t>
  </si>
  <si>
    <t>Dakvlak 5</t>
  </si>
  <si>
    <t>Dakvlak 6</t>
  </si>
  <si>
    <t>Inv 02-02-11-01</t>
  </si>
  <si>
    <t>Inv 02-02-11-02</t>
  </si>
  <si>
    <t>Inv 02-02-11-03</t>
  </si>
  <si>
    <t>Inv 02-02-11-04</t>
  </si>
  <si>
    <t>Inv 02-04-15-01</t>
  </si>
  <si>
    <t>Inv 02-04-15-02</t>
  </si>
  <si>
    <t>Inv 02-04-15-03</t>
  </si>
  <si>
    <t>Inv 02-04-15-04</t>
  </si>
  <si>
    <t>Inv 03-02-19-01</t>
  </si>
  <si>
    <t>Inv 03-02-19-02</t>
  </si>
  <si>
    <t>Inv 03-02-19-03</t>
  </si>
  <si>
    <t>Inv 03-02-19-04</t>
  </si>
  <si>
    <t>Inv 02-02-11-05</t>
  </si>
  <si>
    <t>Inv 02-02-11-06</t>
  </si>
  <si>
    <t>Inv 02-02-11-07</t>
  </si>
  <si>
    <t>Inv 02-02-11-08</t>
  </si>
  <si>
    <t>Inv 02-04-15-05</t>
  </si>
  <si>
    <t>Inv 02-04-15-06</t>
  </si>
  <si>
    <t>Inv 02-04-15-07</t>
  </si>
  <si>
    <t>Inv 02-04-15-08</t>
  </si>
  <si>
    <t>Inv 03-02-19-05</t>
  </si>
  <si>
    <t>Inv 03-02-19-06</t>
  </si>
  <si>
    <t>Inv 03-02-19-07</t>
  </si>
  <si>
    <t>Inv 03-02-19-08</t>
  </si>
  <si>
    <t>Inv 02-02-11-09</t>
  </si>
  <si>
    <t>Inv 02-02-11-10</t>
  </si>
  <si>
    <t>Inv 02-02-11-11</t>
  </si>
  <si>
    <t>Inv 02-02-11-12</t>
  </si>
  <si>
    <t>Inv 02-04-15-09</t>
  </si>
  <si>
    <t>Inv 02-04-15-10</t>
  </si>
  <si>
    <t>Inv 02-04-15-11</t>
  </si>
  <si>
    <t>Inv 02-04-15-12</t>
  </si>
  <si>
    <t>Inv 03-02-19-09</t>
  </si>
  <si>
    <t>Inv 03-02-19-10</t>
  </si>
  <si>
    <t>Inv 03-02-19-11</t>
  </si>
  <si>
    <t>Inv 03-02-19-12</t>
  </si>
  <si>
    <t>Inv 02-02-11-13</t>
  </si>
  <si>
    <t>Inv 02-02-11-14</t>
  </si>
  <si>
    <t>Inv 02-02-11-15</t>
  </si>
  <si>
    <t>Inv 02-02-11-16</t>
  </si>
  <si>
    <t>Inv 02-04-15-13</t>
  </si>
  <si>
    <t>Inv 02-04-15-14</t>
  </si>
  <si>
    <t>Inv 02-04-16-01</t>
  </si>
  <si>
    <t>Inv 02-04-16-02</t>
  </si>
  <si>
    <t>Inv 03-02-19-13</t>
  </si>
  <si>
    <t>Inv 03-02-19-14</t>
  </si>
  <si>
    <t>Inv 03-02-19-15</t>
  </si>
  <si>
    <t>Inv 03-02-19-16</t>
  </si>
  <si>
    <t>Inv 02-02-11-17</t>
  </si>
  <si>
    <t>Inv 02-02-11-18</t>
  </si>
  <si>
    <t>Inv 02-04-16-03</t>
  </si>
  <si>
    <t>Inv 02-04-16-04</t>
  </si>
  <si>
    <t>Inv 02-04-16-05</t>
  </si>
  <si>
    <t>Inv 02-04-16-06</t>
  </si>
  <si>
    <t>Inv 03-02-19-17</t>
  </si>
  <si>
    <t>Inv 03-02-19-18</t>
  </si>
  <si>
    <t>Inv 03-02-19-19</t>
  </si>
  <si>
    <t>Inv 03-02-19-20</t>
  </si>
  <si>
    <t>Inv 02-04-16-07</t>
  </si>
  <si>
    <t>Inv 02-04-16-08</t>
  </si>
  <si>
    <t>Inv 02-04-16-09</t>
  </si>
  <si>
    <t>Inv 02-04-16-10</t>
  </si>
  <si>
    <t>Inv 03-02-20-01</t>
  </si>
  <si>
    <t>Inv 03-02-20-02</t>
  </si>
  <si>
    <t>Inv 03-02-20-03</t>
  </si>
  <si>
    <t>Inv 03-02-20-04</t>
  </si>
  <si>
    <t>Inv 02-02-12-01</t>
  </si>
  <si>
    <t>Inv 02-02-12-02</t>
  </si>
  <si>
    <t>Inv 02-02-12-03</t>
  </si>
  <si>
    <t>Inv 02-02-12-04</t>
  </si>
  <si>
    <t>Inv 02-04-16-11</t>
  </si>
  <si>
    <t>Inv 02-04-16-12</t>
  </si>
  <si>
    <t>Inv 02-04-16-13</t>
  </si>
  <si>
    <t>Inv 02-04-16-14</t>
  </si>
  <si>
    <t>Inv 03-02-20-05</t>
  </si>
  <si>
    <t>Inv 03-02-20-06</t>
  </si>
  <si>
    <t>Inv 03-02-20-07</t>
  </si>
  <si>
    <t>Inv 03-02-20-08</t>
  </si>
  <si>
    <t>Inv 02-02-12-05</t>
  </si>
  <si>
    <t>Inv 02-02-12-06</t>
  </si>
  <si>
    <t>Inv 02-02-12-07</t>
  </si>
  <si>
    <t>Inv 02-02-12-08</t>
  </si>
  <si>
    <t>Inv 03-02-20-09</t>
  </si>
  <si>
    <t>Inv 03-02-20-10</t>
  </si>
  <si>
    <t>Inv 03-02-20-11</t>
  </si>
  <si>
    <t>Inv 03-02-20-12</t>
  </si>
  <si>
    <t>Inv 02-02-12-09</t>
  </si>
  <si>
    <t>Inv 02-02-12-10</t>
  </si>
  <si>
    <t>Inv 02-02-12-11</t>
  </si>
  <si>
    <t>Inv 02-02-12-12</t>
  </si>
  <si>
    <t>Inv 01-04-08-01</t>
  </si>
  <si>
    <t>Inv 01-04-08-02</t>
  </si>
  <si>
    <t>Inv 01-04-08-03</t>
  </si>
  <si>
    <t>Inv 01-04-08-04</t>
  </si>
  <si>
    <t>Inv 03-02-20-13</t>
  </si>
  <si>
    <t>Inv 03-02-20-14</t>
  </si>
  <si>
    <t>Inv 03-02-20-15</t>
  </si>
  <si>
    <t>Inv 03-02-20-16</t>
  </si>
  <si>
    <t>Inv 02-02-12-13</t>
  </si>
  <si>
    <t>Inv 02-02-12-14</t>
  </si>
  <si>
    <t>Inv 02-02-12-15</t>
  </si>
  <si>
    <t>Inv 02-02-12-16</t>
  </si>
  <si>
    <t>Inv 01-04-08-05</t>
  </si>
  <si>
    <t>Inv 01-04-08-06</t>
  </si>
  <si>
    <t>Inv 01-04-08-07</t>
  </si>
  <si>
    <t>Inv 01-04-08-08</t>
  </si>
  <si>
    <t>Inv 03-02-20-17</t>
  </si>
  <si>
    <t>Inv 03-02-20-18</t>
  </si>
  <si>
    <t>Inv 03-02-20-19</t>
  </si>
  <si>
    <t>Inv 03-02-20-20</t>
  </si>
  <si>
    <t>Inv 02-03-13-01</t>
  </si>
  <si>
    <t>Inv 02-03-13-02</t>
  </si>
  <si>
    <t>Inv 02-03-13-03</t>
  </si>
  <si>
    <t>Inv 02-03-13-04</t>
  </si>
  <si>
    <t>Inv 01-04-08-09</t>
  </si>
  <si>
    <t>Inv 01-04-08-10</t>
  </si>
  <si>
    <t>Inv 01-04-08-11</t>
  </si>
  <si>
    <t>Inv 01-04-08-12</t>
  </si>
  <si>
    <t>Inv 02-03-13-05</t>
  </si>
  <si>
    <t>Inv 02-03-13-06</t>
  </si>
  <si>
    <t>Inv 02-03-13-07</t>
  </si>
  <si>
    <t>Inv 02-03-13-08</t>
  </si>
  <si>
    <t>Inv 01-04-08-13</t>
  </si>
  <si>
    <t>Inv 01-04-08-14</t>
  </si>
  <si>
    <t>Inv 01-04-08-15</t>
  </si>
  <si>
    <t>Inv 01-04-08-16</t>
  </si>
  <si>
    <t>Inv 03-03-21-01</t>
  </si>
  <si>
    <t>Inv 03-03-21-02</t>
  </si>
  <si>
    <t>Inv 03-03-21-03</t>
  </si>
  <si>
    <t>Inv 03-03-21-04</t>
  </si>
  <si>
    <t>Inv 02-03-13-09</t>
  </si>
  <si>
    <t>Inv 02-03-13-10</t>
  </si>
  <si>
    <t>Inv 02-03-13-11</t>
  </si>
  <si>
    <t>Inv 02-03-13-12</t>
  </si>
  <si>
    <t>Inv 01-04-08-17</t>
  </si>
  <si>
    <t>Inv 01-04-08-18</t>
  </si>
  <si>
    <t>Inv 01-04-08-19</t>
  </si>
  <si>
    <t>Inv 01-04-08-20</t>
  </si>
  <si>
    <t>Inv 03-03-21-05</t>
  </si>
  <si>
    <t>Inv 03-03-21-06</t>
  </si>
  <si>
    <t>Inv 03-03-21-07</t>
  </si>
  <si>
    <t>Inv 03-03-21-08</t>
  </si>
  <si>
    <t>Inv 02-03-13-13</t>
  </si>
  <si>
    <t>Inv 02-03-13-14</t>
  </si>
  <si>
    <t>Inv 02-03-13-15</t>
  </si>
  <si>
    <t>Inv 02-03-13-16</t>
  </si>
  <si>
    <t>Inv 01-04-08-21</t>
  </si>
  <si>
    <t>Inv 01-04-08-22</t>
  </si>
  <si>
    <t>Inv 01-04-08-23</t>
  </si>
  <si>
    <t>Inv 01-04-08-24</t>
  </si>
  <si>
    <t>Inv 03-03-21-09</t>
  </si>
  <si>
    <t>Inv 03-03-21-10</t>
  </si>
  <si>
    <t>Inv 03-03-21-11</t>
  </si>
  <si>
    <t>Inv 03-03-21-12</t>
  </si>
  <si>
    <t>Inv 02-03-14-01</t>
  </si>
  <si>
    <t>Inv 02-03-14-02</t>
  </si>
  <si>
    <t>Inv 02-03-14-03</t>
  </si>
  <si>
    <t>Inv 02-03-14-04</t>
  </si>
  <si>
    <t>Inv 03-01-17-01</t>
  </si>
  <si>
    <t>Inv 03-01-17-02</t>
  </si>
  <si>
    <t>Inv 03-01-17-03</t>
  </si>
  <si>
    <t>Inv 03-01-17-04</t>
  </si>
  <si>
    <t>Inv 03-03-21-13</t>
  </si>
  <si>
    <t>Inv 03-03-21-14</t>
  </si>
  <si>
    <t>Inv 03-03-21-15</t>
  </si>
  <si>
    <t>Inv 03-03-21-16</t>
  </si>
  <si>
    <t>Inv 02-03-14-05</t>
  </si>
  <si>
    <t>Inv 02-03-14-06</t>
  </si>
  <si>
    <t>Inv 02-03-14-07</t>
  </si>
  <si>
    <t>Inv 02-03-14-08</t>
  </si>
  <si>
    <t>Inv 03-01-17-05</t>
  </si>
  <si>
    <t>Inv 03-01-17-06</t>
  </si>
  <si>
    <t>Inv 03-01-17-07</t>
  </si>
  <si>
    <t>Inv 03-01-17-08</t>
  </si>
  <si>
    <t>Inv 03-03-21-17</t>
  </si>
  <si>
    <t>Inv 03-03-21-18</t>
  </si>
  <si>
    <t>Inv 03-03-21-19</t>
  </si>
  <si>
    <t>Inv 03-03-21-20</t>
  </si>
  <si>
    <t>Inv 02-03-14-09</t>
  </si>
  <si>
    <t>Inv 02-03-14-10</t>
  </si>
  <si>
    <t>Inv 02-03-14-11</t>
  </si>
  <si>
    <t>Inv 02-03-14-12</t>
  </si>
  <si>
    <t>Inv 03-01-17-09</t>
  </si>
  <si>
    <t>Inv 03-01-17-10</t>
  </si>
  <si>
    <t>Inv 03-01-17-11</t>
  </si>
  <si>
    <t>Inv 03-01-17-12</t>
  </si>
  <si>
    <t>Inv 03-03-22-01</t>
  </si>
  <si>
    <t>Inv 03-03-22-02</t>
  </si>
  <si>
    <t>Inv 03-03-22-03</t>
  </si>
  <si>
    <t>Inv 03-03-22-04</t>
  </si>
  <si>
    <t>Inv 02-03-14-13</t>
  </si>
  <si>
    <t>Inv 02-03-14-14</t>
  </si>
  <si>
    <t>Inv 02-03-14-15</t>
  </si>
  <si>
    <t>Inv 02-03-14-16</t>
  </si>
  <si>
    <t>Inv 03-01-17-13</t>
  </si>
  <si>
    <t>Inv 03-01-17-14</t>
  </si>
  <si>
    <t>Inv 03-01-18-01</t>
  </si>
  <si>
    <t>Inv 03-01-18-02</t>
  </si>
  <si>
    <t>Inv 03-03-22-05</t>
  </si>
  <si>
    <t>Inv 03-03-22-06</t>
  </si>
  <si>
    <t>Inv 03-03-22-07</t>
  </si>
  <si>
    <t>Inv 03-03-22-08</t>
  </si>
  <si>
    <t>Inv 03-01-18-03</t>
  </si>
  <si>
    <t>Inv 03-01-18-04</t>
  </si>
  <si>
    <t>Inv 03-01-18-05</t>
  </si>
  <si>
    <t>Inv 03-01-18-06</t>
  </si>
  <si>
    <t>Inv 03-03-22-09</t>
  </si>
  <si>
    <t>Inv 03-03-22-10</t>
  </si>
  <si>
    <t>Inv 03-03-22-11</t>
  </si>
  <si>
    <t>Inv 03-03-22-12</t>
  </si>
  <si>
    <t>Inv 03-01-18-07</t>
  </si>
  <si>
    <t>Inv 03-01-18-08</t>
  </si>
  <si>
    <t>Inv 03-01-18-09</t>
  </si>
  <si>
    <t>Inv 03-01-18-10</t>
  </si>
  <si>
    <t>Inv 03-03-22-13</t>
  </si>
  <si>
    <t>Inv 03-03-22-14</t>
  </si>
  <si>
    <t>Inv 03-03-22-15</t>
  </si>
  <si>
    <t>Inv 03-03-22-16</t>
  </si>
  <si>
    <t>Inv 03-01-18-11</t>
  </si>
  <si>
    <t>Inv 03-01-18-12</t>
  </si>
  <si>
    <t>Inv 03-01-18-13</t>
  </si>
  <si>
    <t>Inv 03-01-18-14</t>
  </si>
  <si>
    <t>Inv 03-03-22-17</t>
  </si>
  <si>
    <t>Inv 03-03-22-18</t>
  </si>
  <si>
    <t>Inv 03-03-22-19</t>
  </si>
  <si>
    <t>Inv 03-03-22-20</t>
  </si>
  <si>
    <t>Gegevens</t>
  </si>
  <si>
    <t>Panelen</t>
  </si>
  <si>
    <t>DMEGC DM375M6-B60HBB</t>
  </si>
  <si>
    <t>Totaal PV vermogen</t>
  </si>
  <si>
    <t>kWp</t>
  </si>
  <si>
    <t>PV vermogen</t>
  </si>
  <si>
    <t>WP</t>
  </si>
  <si>
    <t>Vmp</t>
  </si>
  <si>
    <t>V</t>
  </si>
  <si>
    <t>Voc</t>
  </si>
  <si>
    <t>Imp</t>
  </si>
  <si>
    <t>A</t>
  </si>
  <si>
    <t>Isc</t>
  </si>
  <si>
    <t>Aantal</t>
  </si>
  <si>
    <t>De Janitza UMG 96 meet het totale verbruik, Active Load Balancing bepaalt hoeveel vermogen nog beschikbaar is en het Alfen Smart Charging Network verdeelt dat vermogen over de 10 dubbele laadpalen met in totaal 20 laadpunten. Zo blijft de belasting binnen de ingestelde grenzen.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</si>
</sst>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6">
    <fill>
      <patternFill patternType="none"/>
    </fill>
    <fill>
      <patternFill patternType="gray125"/>
    </fill>
    <fill>
      <patternFill patternType="solid">
        <fgColor theme="7"/>
        <bgColor indexed="64"/>
      </patternFill>
    </fill>
    <fill>
      <patternFill patternType="solid">
        <fgColor rgb="FF00B050"/>
        <bgColor indexed="64"/>
      </patternFill>
    </fill>
    <fill>
      <patternFill patternType="solid">
        <fgColor rgb="FF9758A8"/>
        <bgColor indexed="64"/>
      </patternFill>
    </fill>
    <fill>
      <patternFill patternType="solid">
        <fgColor theme="9"/>
        <bgColor indexed="64"/>
      </patternFill>
    </fill>
    <fill>
      <patternFill patternType="solid">
        <fgColor rgb="FFC00000"/>
        <bgColor indexed="64"/>
      </patternFill>
    </fill>
    <fill>
      <patternFill patternType="solid">
        <fgColor rgb="FFEB2915"/>
        <bgColor indexed="64"/>
      </patternFill>
    </fill>
    <fill>
      <patternFill patternType="solid">
        <fgColor rgb="FF0070C0"/>
        <bgColor indexed="64"/>
      </patternFill>
    </fill>
    <fill>
      <patternFill patternType="solid">
        <fgColor rgb="FF7030A0"/>
        <bgColor indexed="64"/>
      </patternFill>
    </fill>
    <fill>
      <patternFill patternType="solid">
        <fgColor rgb="FF6B7E95"/>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rgb="FF8A5888"/>
        <bgColor indexed="64"/>
      </patternFill>
    </fill>
    <fill>
      <patternFill patternType="solid">
        <fgColor theme="4" tint="-0.499984740745262"/>
        <bgColor indexed="64"/>
      </patternFill>
    </fill>
    <fill>
      <patternFill patternType="solid">
        <fgColor theme="5" tint="0.59999389629810485"/>
        <bgColor indexed="64"/>
      </patternFill>
    </fill>
    <fill>
      <patternFill patternType="solid">
        <fgColor rgb="FFB1974F"/>
        <bgColor indexed="64"/>
      </patternFill>
    </fill>
    <fill>
      <patternFill patternType="solid">
        <fgColor rgb="FFFF0000"/>
        <bgColor indexed="64"/>
      </patternFill>
    </fill>
    <fill>
      <patternFill patternType="solid">
        <fgColor theme="3" tint="0.59999389629810485"/>
        <bgColor indexed="64"/>
      </patternFill>
    </fill>
    <fill>
      <patternFill patternType="solid">
        <fgColor rgb="FF1FE13F"/>
        <bgColor indexed="64"/>
      </patternFill>
    </fill>
    <fill>
      <patternFill patternType="solid">
        <fgColor rgb="FFFFFF00"/>
        <bgColor indexed="64"/>
      </patternFill>
    </fill>
    <fill>
      <patternFill patternType="solid">
        <fgColor theme="9" tint="-0.499984740745262"/>
        <bgColor indexed="64"/>
      </patternFill>
    </fill>
    <fill>
      <patternFill patternType="solid">
        <fgColor rgb="FF4DB368"/>
        <bgColor indexed="64"/>
      </patternFill>
    </fill>
    <fill>
      <patternFill patternType="solid">
        <fgColor rgb="FFEE12DE"/>
        <bgColor indexed="64"/>
      </patternFill>
    </fill>
    <fill>
      <patternFill patternType="solid">
        <fgColor theme="2" tint="-9.9978637043366805E-2"/>
        <bgColor indexed="64"/>
      </patternFill>
    </fill>
    <fill>
      <patternFill patternType="solid">
        <fgColor theme="8"/>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8">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2" borderId="0" xfId="0" applyFill="1"/>
    <xf numFmtId="0" fontId="0" fillId="0" borderId="5" xfId="0" applyBorder="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0" borderId="6" xfId="0" applyBorder="1"/>
    <xf numFmtId="0" fontId="0" fillId="0" borderId="7" xfId="0" applyBorder="1"/>
    <xf numFmtId="0" fontId="0" fillId="22" borderId="7" xfId="0" applyFill="1" applyBorder="1"/>
    <xf numFmtId="0" fontId="0" fillId="0" borderId="8" xfId="0" applyBorder="1"/>
    <xf numFmtId="0" fontId="0" fillId="23" borderId="7" xfId="0" applyFill="1" applyBorder="1"/>
    <xf numFmtId="0" fontId="1" fillId="0" borderId="0" xfId="0" applyFont="1"/>
    <xf numFmtId="0" fontId="0" fillId="2" borderId="9" xfId="0" applyFill="1" applyBorder="1" applyAlignment="1">
      <alignment horizontal="center"/>
    </xf>
    <xf numFmtId="0" fontId="0" fillId="2" borderId="10" xfId="0" applyFill="1" applyBorder="1" applyAlignment="1">
      <alignment horizontal="center"/>
    </xf>
    <xf numFmtId="0" fontId="0" fillId="24" borderId="9" xfId="0" applyFill="1" applyBorder="1" applyAlignment="1">
      <alignment horizontal="center"/>
    </xf>
    <xf numFmtId="0" fontId="0" fillId="24" borderId="10" xfId="0" applyFill="1" applyBorder="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14" borderId="9" xfId="0" applyFill="1" applyBorder="1" applyAlignment="1">
      <alignment horizontal="center"/>
    </xf>
    <xf numFmtId="0" fontId="0" fillId="14" borderId="10"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0" fillId="5" borderId="9" xfId="0" applyFill="1" applyBorder="1" applyAlignment="1">
      <alignment horizontal="center"/>
    </xf>
    <xf numFmtId="0" fontId="0" fillId="5" borderId="10" xfId="0" applyFill="1" applyBorder="1" applyAlignment="1">
      <alignment horizontal="center"/>
    </xf>
    <xf numFmtId="0" fontId="0" fillId="25" borderId="9" xfId="0" applyFill="1" applyBorder="1" applyAlignment="1">
      <alignment horizontal="center"/>
    </xf>
    <xf numFmtId="0" fontId="0" fillId="25" borderId="10" xfId="0" applyFill="1" applyBorder="1" applyAlignment="1">
      <alignment horizontal="center"/>
    </xf>
    <xf numFmtId="0" fontId="0" fillId="17" borderId="9" xfId="0" applyFill="1" applyBorder="1" applyAlignment="1">
      <alignment horizontal="center"/>
    </xf>
    <xf numFmtId="0" fontId="0" fillId="17" borderId="10" xfId="0" applyFill="1" applyBorder="1" applyAlignment="1">
      <alignment horizontal="center"/>
    </xf>
    <xf numFmtId="0" fontId="0" fillId="20" borderId="9" xfId="0" applyFill="1" applyBorder="1" applyAlignment="1">
      <alignment horizontal="center"/>
    </xf>
    <xf numFmtId="0" fontId="0" fillId="20" borderId="10" xfId="0" applyFill="1" applyBorder="1" applyAlignment="1">
      <alignment horizontal="center"/>
    </xf>
    <xf numFmtId="0" fontId="0" fillId="9" borderId="9" xfId="0" applyFill="1" applyBorder="1" applyAlignment="1">
      <alignment horizontal="center"/>
    </xf>
    <xf numFmtId="0" fontId="0" fillId="9" borderId="10" xfId="0" applyFill="1" applyBorder="1" applyAlignment="1">
      <alignment horizontal="center"/>
    </xf>
    <xf numFmtId="0" fontId="0" fillId="21" borderId="9" xfId="0" applyFill="1" applyBorder="1" applyAlignment="1">
      <alignment horizontal="center"/>
    </xf>
    <xf numFmtId="0" fontId="0" fillId="21" borderId="10" xfId="0" applyFill="1" applyBorder="1" applyAlignment="1">
      <alignment horizontal="center"/>
    </xf>
    <xf numFmtId="0" fontId="0" fillId="10" borderId="9" xfId="0" applyFill="1" applyBorder="1" applyAlignment="1">
      <alignment horizontal="center"/>
    </xf>
    <xf numFmtId="0" fontId="0" fillId="10" borderId="10" xfId="0" applyFill="1" applyBorder="1" applyAlignment="1">
      <alignment horizontal="center"/>
    </xf>
    <xf numFmtId="0" fontId="0" fillId="23" borderId="9" xfId="0" applyFill="1" applyBorder="1" applyAlignment="1">
      <alignment horizontal="center"/>
    </xf>
    <xf numFmtId="0" fontId="0" fillId="23" borderId="10" xfId="0" applyFill="1" applyBorder="1" applyAlignment="1">
      <alignment horizontal="center"/>
    </xf>
    <xf numFmtId="0" fontId="0" fillId="13" borderId="9" xfId="0" applyFill="1" applyBorder="1" applyAlignment="1">
      <alignment horizontal="center"/>
    </xf>
    <xf numFmtId="0" fontId="0" fillId="13" borderId="10" xfId="0"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0" fillId="22" borderId="9" xfId="0" applyFill="1" applyBorder="1" applyAlignment="1">
      <alignment horizontal="center"/>
    </xf>
    <xf numFmtId="0" fontId="0" fillId="22" borderId="10" xfId="0" applyFill="1" applyBorder="1" applyAlignment="1">
      <alignment horizontal="center"/>
    </xf>
    <xf numFmtId="0" fontId="0" fillId="15" borderId="9" xfId="0" applyFill="1" applyBorder="1" applyAlignment="1">
      <alignment horizontal="center"/>
    </xf>
    <xf numFmtId="0" fontId="0" fillId="15" borderId="10" xfId="0" applyFill="1" applyBorder="1" applyAlignment="1">
      <alignment horizontal="center"/>
    </xf>
    <xf numFmtId="0" fontId="0" fillId="16" borderId="9" xfId="0" applyFill="1" applyBorder="1" applyAlignment="1">
      <alignment horizontal="center"/>
    </xf>
    <xf numFmtId="0" fontId="0" fillId="16" borderId="10" xfId="0" applyFill="1" applyBorder="1" applyAlignment="1">
      <alignment horizontal="center"/>
    </xf>
    <xf numFmtId="0" fontId="0" fillId="18" borderId="9" xfId="0" applyFill="1" applyBorder="1" applyAlignment="1">
      <alignment horizontal="center"/>
    </xf>
    <xf numFmtId="0" fontId="0" fillId="18" borderId="10"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19" borderId="9" xfId="0" applyFill="1" applyBorder="1" applyAlignment="1">
      <alignment horizontal="center"/>
    </xf>
    <xf numFmtId="0" fontId="0" fillId="19" borderId="10" xfId="0" applyFill="1" applyBorder="1" applyAlignment="1">
      <alignment horizontal="center"/>
    </xf>
    <xf numFmtId="0" fontId="0" fillId="7" borderId="9" xfId="0" applyFill="1" applyBorder="1" applyAlignment="1">
      <alignment horizontal="center"/>
    </xf>
    <xf numFmtId="0" fontId="0" fillId="7" borderId="10" xfId="0" applyFill="1" applyBorder="1" applyAlignment="1">
      <alignment horizontal="center"/>
    </xf>
    <xf numFmtId="0" fontId="0" fillId="0" borderId="0" xfId="0"/>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600075</xdr:colOff>
      <xdr:row>0</xdr:row>
      <xdr:rowOff>171450</xdr:rowOff>
    </xdr:from>
    <xdr:to>
      <xdr:col>16</xdr:col>
      <xdr:colOff>335804</xdr:colOff>
      <xdr:row>27</xdr:row>
      <xdr:rowOff>29452</xdr:rowOff>
    </xdr:to>
    <xdr:pic>
      <xdr:nvPicPr>
        <xdr:cNvPr id="2" name="Picture 1">
          <a:extLst>
            <a:ext uri="{FF2B5EF4-FFF2-40B4-BE49-F238E27FC236}">
              <a16:creationId xmlns:a16="http://schemas.microsoft.com/office/drawing/2014/main" id="{858AD9AC-3B21-44B6-8040-9179DF9082A6}"/>
            </a:ext>
          </a:extLst>
        </xdr:cNvPr>
        <xdr:cNvPicPr>
          <a:picLocks noChangeAspect="1"/>
        </xdr:cNvPicPr>
      </xdr:nvPicPr>
      <xdr:blipFill>
        <a:blip xmlns:r="http://schemas.openxmlformats.org/officeDocument/2006/relationships" r:embed="rId1"/>
        <a:stretch>
          <a:fillRect/>
        </a:stretch>
      </xdr:blipFill>
      <xdr:spPr>
        <a:xfrm>
          <a:off x="3648075" y="171450"/>
          <a:ext cx="6441329" cy="50015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AE62"/>
  <sheetViews>
    <sheetView workbookViewId="0">
      <selection sqref="A1:AF65"/>
    </sheetView>
  </sheetViews>
  <sheetFormatPr defaultRowHeight="15" x14ac:dyDescent="0.25"/>
  <sheetData>
    <row r="1" spans="4:23" x14ac:dyDescent="0.25">
      <c r="D1" s="1"/>
      <c r="E1" s="2" t="s">
        <v>0</v>
      </c>
      <c r="F1" s="2" t="s">
        <v>1</v>
      </c>
      <c r="G1" s="2" t="s">
        <v>2</v>
      </c>
      <c r="H1" s="2" t="s">
        <v>3</v>
      </c>
      <c r="I1" s="3" t="s">
        <v>4</v>
      </c>
      <c r="J1" s="2"/>
      <c r="K1" s="1"/>
      <c r="L1" s="2" t="s">
        <v>0</v>
      </c>
      <c r="M1" s="2" t="s">
        <v>1</v>
      </c>
      <c r="N1" s="2" t="s">
        <v>2</v>
      </c>
      <c r="O1" s="2" t="s">
        <v>3</v>
      </c>
      <c r="P1" s="3" t="s">
        <v>4</v>
      </c>
      <c r="Q1" s="2"/>
      <c r="R1" s="1"/>
      <c r="S1" s="2" t="s">
        <v>0</v>
      </c>
      <c r="T1" s="2" t="s">
        <v>1</v>
      </c>
      <c r="U1" s="2" t="s">
        <v>2</v>
      </c>
      <c r="V1" s="2" t="s">
        <v>3</v>
      </c>
      <c r="W1" s="3" t="s">
        <v>4</v>
      </c>
    </row>
    <row r="2" spans="4:23" x14ac:dyDescent="0.25">
      <c r="D2" s="4" t="s">
        <v>5</v>
      </c>
      <c r="E2">
        <v>1</v>
      </c>
      <c r="F2">
        <v>1</v>
      </c>
      <c r="G2" s="5">
        <v>1</v>
      </c>
      <c r="H2">
        <v>20</v>
      </c>
      <c r="I2" s="6">
        <f>H2*33.82</f>
        <v>676.4</v>
      </c>
      <c r="K2" s="4" t="s">
        <v>5</v>
      </c>
      <c r="L2">
        <v>2</v>
      </c>
      <c r="M2">
        <v>1</v>
      </c>
      <c r="N2" s="7">
        <v>9</v>
      </c>
      <c r="O2">
        <v>20</v>
      </c>
      <c r="P2" s="6">
        <f>O2*33.82</f>
        <v>676.4</v>
      </c>
      <c r="R2" s="4" t="s">
        <v>5</v>
      </c>
      <c r="S2">
        <v>1</v>
      </c>
      <c r="T2">
        <v>1</v>
      </c>
      <c r="U2" s="8">
        <v>17</v>
      </c>
      <c r="V2">
        <v>14</v>
      </c>
      <c r="W2" s="6">
        <f>V2*33.82</f>
        <v>473.48</v>
      </c>
    </row>
    <row r="3" spans="4:23" x14ac:dyDescent="0.25">
      <c r="D3" s="4">
        <v>40</v>
      </c>
      <c r="F3">
        <v>1</v>
      </c>
      <c r="G3" s="9">
        <v>2</v>
      </c>
      <c r="H3">
        <v>18</v>
      </c>
      <c r="I3" s="6">
        <f t="shared" ref="I3:I9" si="0">H3*33.82</f>
        <v>608.76</v>
      </c>
      <c r="K3" s="4">
        <v>40</v>
      </c>
      <c r="M3">
        <v>1</v>
      </c>
      <c r="N3" s="10">
        <v>10</v>
      </c>
      <c r="O3">
        <v>20</v>
      </c>
      <c r="P3" s="6">
        <f t="shared" ref="P3:P9" si="1">O3*33.82</f>
        <v>676.4</v>
      </c>
      <c r="R3" s="4">
        <v>30</v>
      </c>
      <c r="T3">
        <v>1</v>
      </c>
      <c r="U3" s="11">
        <v>18</v>
      </c>
      <c r="V3">
        <v>14</v>
      </c>
      <c r="W3" s="6">
        <f t="shared" ref="W3:W9" si="2">V3*33.82</f>
        <v>473.48</v>
      </c>
    </row>
    <row r="4" spans="4:23" x14ac:dyDescent="0.25">
      <c r="D4" s="4"/>
      <c r="F4">
        <v>2</v>
      </c>
      <c r="G4" s="12">
        <v>3</v>
      </c>
      <c r="H4">
        <v>14</v>
      </c>
      <c r="I4" s="6">
        <f t="shared" si="0"/>
        <v>473.48</v>
      </c>
      <c r="K4" s="4"/>
      <c r="M4">
        <v>2</v>
      </c>
      <c r="N4" s="13">
        <v>11</v>
      </c>
      <c r="O4">
        <v>18</v>
      </c>
      <c r="P4" s="6">
        <f t="shared" si="1"/>
        <v>608.76</v>
      </c>
      <c r="R4" s="4"/>
      <c r="T4">
        <v>2</v>
      </c>
      <c r="U4" s="14">
        <v>19</v>
      </c>
      <c r="V4">
        <v>20</v>
      </c>
      <c r="W4" s="6">
        <f t="shared" si="2"/>
        <v>676.4</v>
      </c>
    </row>
    <row r="5" spans="4:23" x14ac:dyDescent="0.25">
      <c r="D5" s="4"/>
      <c r="F5">
        <v>2</v>
      </c>
      <c r="G5" s="15">
        <v>4</v>
      </c>
      <c r="H5">
        <v>14</v>
      </c>
      <c r="I5" s="6">
        <f t="shared" si="0"/>
        <v>473.48</v>
      </c>
      <c r="K5" s="4"/>
      <c r="M5">
        <v>2</v>
      </c>
      <c r="N5" s="16">
        <v>12</v>
      </c>
      <c r="O5">
        <v>16</v>
      </c>
      <c r="P5" s="6">
        <f t="shared" si="1"/>
        <v>541.12</v>
      </c>
      <c r="R5" s="4"/>
      <c r="T5">
        <v>2</v>
      </c>
      <c r="U5" s="17">
        <v>20</v>
      </c>
      <c r="V5">
        <v>20</v>
      </c>
      <c r="W5" s="6">
        <f t="shared" si="2"/>
        <v>676.4</v>
      </c>
    </row>
    <row r="6" spans="4:23" x14ac:dyDescent="0.25">
      <c r="D6" s="4"/>
      <c r="F6">
        <v>3</v>
      </c>
      <c r="G6" s="18">
        <v>5</v>
      </c>
      <c r="H6">
        <v>22</v>
      </c>
      <c r="I6" s="6">
        <f t="shared" si="0"/>
        <v>744.04</v>
      </c>
      <c r="K6" s="4"/>
      <c r="M6">
        <v>3</v>
      </c>
      <c r="N6" s="19">
        <v>13</v>
      </c>
      <c r="O6">
        <v>16</v>
      </c>
      <c r="P6" s="6">
        <f t="shared" si="1"/>
        <v>541.12</v>
      </c>
      <c r="R6" s="4"/>
      <c r="T6">
        <v>3</v>
      </c>
      <c r="U6" s="20">
        <v>21</v>
      </c>
      <c r="V6">
        <v>20</v>
      </c>
      <c r="W6" s="6">
        <f t="shared" si="2"/>
        <v>676.4</v>
      </c>
    </row>
    <row r="7" spans="4:23" x14ac:dyDescent="0.25">
      <c r="D7" s="4"/>
      <c r="F7">
        <v>3</v>
      </c>
      <c r="G7" s="21">
        <v>6</v>
      </c>
      <c r="H7">
        <v>22</v>
      </c>
      <c r="I7" s="6">
        <f t="shared" si="0"/>
        <v>744.04</v>
      </c>
      <c r="K7" s="4"/>
      <c r="M7">
        <v>3</v>
      </c>
      <c r="N7" s="22">
        <v>14</v>
      </c>
      <c r="O7">
        <v>16</v>
      </c>
      <c r="P7" s="6">
        <f t="shared" si="1"/>
        <v>541.12</v>
      </c>
      <c r="R7" s="4"/>
      <c r="T7">
        <v>3</v>
      </c>
      <c r="U7" s="23">
        <v>22</v>
      </c>
      <c r="V7">
        <v>20</v>
      </c>
      <c r="W7" s="6">
        <f t="shared" si="2"/>
        <v>676.4</v>
      </c>
    </row>
    <row r="8" spans="4:23" x14ac:dyDescent="0.25">
      <c r="D8" s="4"/>
      <c r="F8">
        <v>4</v>
      </c>
      <c r="G8" s="24">
        <v>7</v>
      </c>
      <c r="H8">
        <v>22</v>
      </c>
      <c r="I8" s="6">
        <f t="shared" si="0"/>
        <v>744.04</v>
      </c>
      <c r="K8" s="4"/>
      <c r="M8">
        <v>4</v>
      </c>
      <c r="N8" s="25">
        <v>15</v>
      </c>
      <c r="O8">
        <v>14</v>
      </c>
      <c r="P8" s="6">
        <f t="shared" si="1"/>
        <v>473.48</v>
      </c>
      <c r="R8" s="4"/>
      <c r="T8">
        <v>4</v>
      </c>
      <c r="V8">
        <v>0</v>
      </c>
      <c r="W8" s="6">
        <f t="shared" si="2"/>
        <v>0</v>
      </c>
    </row>
    <row r="9" spans="4:23" x14ac:dyDescent="0.25">
      <c r="D9" s="26"/>
      <c r="E9" s="27"/>
      <c r="F9" s="27">
        <v>4</v>
      </c>
      <c r="G9" s="28">
        <v>8</v>
      </c>
      <c r="H9">
        <v>24</v>
      </c>
      <c r="I9" s="29">
        <f t="shared" si="0"/>
        <v>811.68000000000006</v>
      </c>
      <c r="K9" s="26"/>
      <c r="L9" s="27"/>
      <c r="M9" s="27">
        <v>4</v>
      </c>
      <c r="N9" s="30">
        <v>16</v>
      </c>
      <c r="O9" s="27">
        <v>16</v>
      </c>
      <c r="P9" s="6">
        <f t="shared" si="1"/>
        <v>541.12</v>
      </c>
      <c r="R9" s="26"/>
      <c r="S9" s="27"/>
      <c r="T9" s="27">
        <v>4</v>
      </c>
      <c r="U9" s="27"/>
      <c r="V9" s="27">
        <v>0</v>
      </c>
      <c r="W9" s="6">
        <f t="shared" si="2"/>
        <v>0</v>
      </c>
    </row>
    <row r="10" spans="4:23" x14ac:dyDescent="0.25">
      <c r="H10" s="2">
        <f>SUM(H2:H9) * 375</f>
        <v>58500</v>
      </c>
      <c r="O10">
        <f>SUM(O2:O9) * 375</f>
        <v>51000</v>
      </c>
      <c r="P10" s="2"/>
      <c r="V10">
        <f>SUM(V2:V9) * 375</f>
        <v>40500</v>
      </c>
      <c r="W10" s="2"/>
    </row>
    <row r="17" spans="4:31" x14ac:dyDescent="0.25">
      <c r="D17" s="31" t="s">
        <v>6</v>
      </c>
      <c r="E17" s="31"/>
      <c r="F17">
        <v>398</v>
      </c>
    </row>
    <row r="18" spans="4:31" x14ac:dyDescent="0.25">
      <c r="D18" t="s">
        <v>7</v>
      </c>
      <c r="F18">
        <v>56</v>
      </c>
      <c r="N18" t="s">
        <v>8</v>
      </c>
      <c r="P18">
        <v>76</v>
      </c>
      <c r="X18" t="s">
        <v>9</v>
      </c>
      <c r="Z18">
        <v>40</v>
      </c>
    </row>
    <row r="19" spans="4:31" x14ac:dyDescent="0.25">
      <c r="D19" s="32" t="s">
        <v>10</v>
      </c>
      <c r="E19" s="33"/>
      <c r="F19" s="32" t="s">
        <v>11</v>
      </c>
      <c r="G19" s="33"/>
      <c r="H19" s="32" t="s">
        <v>12</v>
      </c>
      <c r="I19" s="33"/>
      <c r="J19" s="32" t="s">
        <v>13</v>
      </c>
      <c r="K19" s="33"/>
      <c r="N19" s="34" t="s">
        <v>14</v>
      </c>
      <c r="O19" s="35"/>
      <c r="P19" s="34" t="s">
        <v>15</v>
      </c>
      <c r="Q19" s="35"/>
      <c r="R19" s="34" t="s">
        <v>16</v>
      </c>
      <c r="S19" s="35"/>
      <c r="T19" s="34" t="s">
        <v>17</v>
      </c>
      <c r="U19" s="35"/>
      <c r="X19" s="36" t="s">
        <v>18</v>
      </c>
      <c r="Y19" s="37"/>
      <c r="Z19" s="36" t="s">
        <v>19</v>
      </c>
      <c r="AA19" s="37"/>
      <c r="AB19" s="36" t="s">
        <v>20</v>
      </c>
      <c r="AC19" s="37"/>
      <c r="AD19" s="36" t="s">
        <v>21</v>
      </c>
      <c r="AE19" s="37"/>
    </row>
    <row r="20" spans="4:31" x14ac:dyDescent="0.25">
      <c r="D20" s="32" t="s">
        <v>22</v>
      </c>
      <c r="E20" s="33"/>
      <c r="F20" s="32" t="s">
        <v>23</v>
      </c>
      <c r="G20" s="33"/>
      <c r="H20" s="32" t="s">
        <v>24</v>
      </c>
      <c r="I20" s="33"/>
      <c r="J20" s="32" t="s">
        <v>25</v>
      </c>
      <c r="K20" s="33"/>
      <c r="N20" s="34" t="s">
        <v>26</v>
      </c>
      <c r="O20" s="35"/>
      <c r="P20" s="34" t="s">
        <v>27</v>
      </c>
      <c r="Q20" s="35"/>
      <c r="R20" s="34" t="s">
        <v>28</v>
      </c>
      <c r="S20" s="35"/>
      <c r="T20" s="34" t="s">
        <v>29</v>
      </c>
      <c r="U20" s="35"/>
      <c r="X20" s="36" t="s">
        <v>30</v>
      </c>
      <c r="Y20" s="37"/>
      <c r="Z20" s="36" t="s">
        <v>31</v>
      </c>
      <c r="AA20" s="37"/>
      <c r="AB20" s="36" t="s">
        <v>32</v>
      </c>
      <c r="AC20" s="37"/>
      <c r="AD20" s="36" t="s">
        <v>33</v>
      </c>
      <c r="AE20" s="37"/>
    </row>
    <row r="21" spans="4:31" x14ac:dyDescent="0.25">
      <c r="D21" s="32" t="s">
        <v>34</v>
      </c>
      <c r="E21" s="33"/>
      <c r="F21" s="32" t="s">
        <v>35</v>
      </c>
      <c r="G21" s="33"/>
      <c r="H21" s="32" t="s">
        <v>36</v>
      </c>
      <c r="I21" s="33"/>
      <c r="J21" s="32" t="s">
        <v>37</v>
      </c>
      <c r="K21" s="33"/>
      <c r="N21" s="34" t="s">
        <v>38</v>
      </c>
      <c r="O21" s="35"/>
      <c r="P21" s="34" t="s">
        <v>39</v>
      </c>
      <c r="Q21" s="35"/>
      <c r="R21" s="34" t="s">
        <v>40</v>
      </c>
      <c r="S21" s="35"/>
      <c r="T21" s="34" t="s">
        <v>41</v>
      </c>
      <c r="U21" s="35"/>
      <c r="X21" s="36" t="s">
        <v>42</v>
      </c>
      <c r="Y21" s="37"/>
      <c r="Z21" s="36" t="s">
        <v>33</v>
      </c>
      <c r="AA21" s="37"/>
      <c r="AB21" s="36" t="s">
        <v>43</v>
      </c>
      <c r="AC21" s="37"/>
      <c r="AD21" s="36" t="s">
        <v>44</v>
      </c>
      <c r="AE21" s="37"/>
    </row>
    <row r="22" spans="4:31" x14ac:dyDescent="0.25">
      <c r="D22" s="32" t="s">
        <v>45</v>
      </c>
      <c r="E22" s="33"/>
      <c r="F22" s="32" t="s">
        <v>46</v>
      </c>
      <c r="G22" s="33"/>
      <c r="H22" s="32" t="s">
        <v>47</v>
      </c>
      <c r="I22" s="33"/>
      <c r="J22" s="32" t="s">
        <v>48</v>
      </c>
      <c r="K22" s="33"/>
      <c r="N22" s="34" t="s">
        <v>49</v>
      </c>
      <c r="O22" s="35"/>
      <c r="P22" s="34" t="s">
        <v>50</v>
      </c>
      <c r="Q22" s="35"/>
      <c r="R22" s="38" t="s">
        <v>51</v>
      </c>
      <c r="S22" s="39"/>
      <c r="T22" s="38" t="s">
        <v>52</v>
      </c>
      <c r="U22" s="39"/>
      <c r="X22" s="36" t="s">
        <v>53</v>
      </c>
      <c r="Y22" s="37"/>
      <c r="Z22" s="36" t="s">
        <v>54</v>
      </c>
      <c r="AA22" s="37"/>
      <c r="AB22" s="36" t="s">
        <v>55</v>
      </c>
      <c r="AC22" s="37"/>
      <c r="AD22" s="36" t="s">
        <v>56</v>
      </c>
      <c r="AE22" s="37"/>
    </row>
    <row r="23" spans="4:31" x14ac:dyDescent="0.25">
      <c r="D23" s="32" t="s">
        <v>57</v>
      </c>
      <c r="E23" s="33"/>
      <c r="F23" s="32" t="s">
        <v>58</v>
      </c>
      <c r="G23" s="33"/>
      <c r="H23" s="32" t="s">
        <v>59</v>
      </c>
      <c r="I23" s="33"/>
      <c r="J23" s="32" t="s">
        <v>60</v>
      </c>
      <c r="K23" s="33"/>
      <c r="N23" s="38" t="s">
        <v>61</v>
      </c>
      <c r="O23" s="39"/>
      <c r="P23" s="38" t="s">
        <v>62</v>
      </c>
      <c r="Q23" s="39"/>
      <c r="R23" s="38" t="s">
        <v>63</v>
      </c>
      <c r="S23" s="39"/>
      <c r="T23" s="38" t="s">
        <v>64</v>
      </c>
      <c r="U23" s="39"/>
      <c r="X23" s="36" t="s">
        <v>65</v>
      </c>
      <c r="Y23" s="37"/>
      <c r="Z23" s="36" t="s">
        <v>66</v>
      </c>
      <c r="AA23" s="37"/>
      <c r="AB23" s="36" t="s">
        <v>67</v>
      </c>
      <c r="AC23" s="37"/>
      <c r="AD23" s="36" t="s">
        <v>68</v>
      </c>
      <c r="AE23" s="37"/>
    </row>
    <row r="24" spans="4:31" x14ac:dyDescent="0.25">
      <c r="N24" s="38" t="s">
        <v>69</v>
      </c>
      <c r="O24" s="39"/>
      <c r="P24" s="38" t="s">
        <v>70</v>
      </c>
      <c r="Q24" s="39"/>
      <c r="R24" s="38" t="s">
        <v>71</v>
      </c>
      <c r="S24" s="39"/>
      <c r="T24" s="38" t="s">
        <v>72</v>
      </c>
      <c r="U24" s="39"/>
      <c r="X24" s="40" t="s">
        <v>73</v>
      </c>
      <c r="Y24" s="41"/>
      <c r="Z24" s="40" t="s">
        <v>74</v>
      </c>
      <c r="AA24" s="41"/>
      <c r="AB24" s="40" t="s">
        <v>75</v>
      </c>
      <c r="AC24" s="41"/>
      <c r="AD24" s="40" t="s">
        <v>76</v>
      </c>
      <c r="AE24" s="41"/>
    </row>
    <row r="25" spans="4:31" x14ac:dyDescent="0.25">
      <c r="D25" s="42" t="s">
        <v>77</v>
      </c>
      <c r="E25" s="43"/>
      <c r="F25" s="42" t="s">
        <v>78</v>
      </c>
      <c r="G25" s="43"/>
      <c r="H25" s="42" t="s">
        <v>79</v>
      </c>
      <c r="I25" s="43"/>
      <c r="J25" s="42" t="s">
        <v>80</v>
      </c>
      <c r="K25" s="43"/>
      <c r="N25" s="38" t="s">
        <v>81</v>
      </c>
      <c r="O25" s="39"/>
      <c r="P25" s="38" t="s">
        <v>82</v>
      </c>
      <c r="Q25" s="39"/>
      <c r="R25" s="38" t="s">
        <v>83</v>
      </c>
      <c r="S25" s="39"/>
      <c r="T25" s="38" t="s">
        <v>84</v>
      </c>
      <c r="U25" s="39"/>
      <c r="X25" s="40" t="s">
        <v>85</v>
      </c>
      <c r="Y25" s="41"/>
      <c r="Z25" s="40" t="s">
        <v>86</v>
      </c>
      <c r="AA25" s="41"/>
      <c r="AB25" s="40" t="s">
        <v>87</v>
      </c>
      <c r="AC25" s="41"/>
      <c r="AD25" s="40" t="s">
        <v>88</v>
      </c>
      <c r="AE25" s="41"/>
    </row>
    <row r="26" spans="4:31" x14ac:dyDescent="0.25">
      <c r="D26" s="42" t="s">
        <v>89</v>
      </c>
      <c r="E26" s="43"/>
      <c r="F26" s="42" t="s">
        <v>90</v>
      </c>
      <c r="G26" s="43"/>
      <c r="H26" s="42" t="s">
        <v>91</v>
      </c>
      <c r="I26" s="43"/>
      <c r="J26" s="42" t="s">
        <v>92</v>
      </c>
      <c r="K26" s="43"/>
      <c r="N26" s="38" t="s">
        <v>93</v>
      </c>
      <c r="O26" s="39"/>
      <c r="P26" s="38" t="s">
        <v>94</v>
      </c>
      <c r="Q26" s="39"/>
      <c r="R26" s="38" t="s">
        <v>95</v>
      </c>
      <c r="S26" s="39"/>
      <c r="T26" s="38" t="s">
        <v>96</v>
      </c>
      <c r="U26" s="39"/>
      <c r="X26" s="40" t="s">
        <v>97</v>
      </c>
      <c r="Y26" s="41"/>
      <c r="Z26" s="40" t="s">
        <v>98</v>
      </c>
      <c r="AA26" s="41"/>
      <c r="AB26" s="40" t="s">
        <v>99</v>
      </c>
      <c r="AC26" s="41"/>
      <c r="AD26" s="40" t="s">
        <v>100</v>
      </c>
      <c r="AE26" s="41"/>
    </row>
    <row r="27" spans="4:31" x14ac:dyDescent="0.25">
      <c r="D27" s="42" t="s">
        <v>101</v>
      </c>
      <c r="E27" s="43"/>
      <c r="F27" s="42" t="s">
        <v>102</v>
      </c>
      <c r="G27" s="43"/>
      <c r="H27" s="42" t="s">
        <v>103</v>
      </c>
      <c r="I27" s="43"/>
      <c r="J27" s="42" t="s">
        <v>104</v>
      </c>
      <c r="K27" s="43"/>
      <c r="N27" s="38" t="s">
        <v>105</v>
      </c>
      <c r="O27" s="39"/>
      <c r="P27" s="38" t="s">
        <v>106</v>
      </c>
      <c r="Q27" s="39"/>
      <c r="R27" s="38" t="s">
        <v>107</v>
      </c>
      <c r="S27" s="39"/>
      <c r="T27" s="38" t="s">
        <v>108</v>
      </c>
      <c r="U27" s="39"/>
      <c r="X27" s="40" t="s">
        <v>109</v>
      </c>
      <c r="Y27" s="41"/>
      <c r="Z27" s="40" t="s">
        <v>110</v>
      </c>
      <c r="AA27" s="41"/>
      <c r="AB27" s="40" t="s">
        <v>111</v>
      </c>
      <c r="AC27" s="41"/>
      <c r="AD27" s="40" t="s">
        <v>112</v>
      </c>
      <c r="AE27" s="41"/>
    </row>
    <row r="28" spans="4:31" x14ac:dyDescent="0.25">
      <c r="D28" s="42" t="s">
        <v>113</v>
      </c>
      <c r="E28" s="43"/>
      <c r="F28" s="42" t="s">
        <v>114</v>
      </c>
      <c r="G28" s="43"/>
      <c r="H28" s="42" t="s">
        <v>115</v>
      </c>
      <c r="I28" s="43"/>
      <c r="J28" s="42" t="s">
        <v>116</v>
      </c>
      <c r="K28" s="43"/>
      <c r="X28" s="40" t="s">
        <v>117</v>
      </c>
      <c r="Y28" s="41"/>
      <c r="Z28" s="40" t="s">
        <v>118</v>
      </c>
      <c r="AA28" s="41"/>
      <c r="AB28" s="40" t="s">
        <v>119</v>
      </c>
      <c r="AC28" s="41"/>
      <c r="AD28" s="40" t="s">
        <v>120</v>
      </c>
      <c r="AE28" s="41"/>
    </row>
    <row r="29" spans="4:31" x14ac:dyDescent="0.25">
      <c r="D29" s="42" t="s">
        <v>121</v>
      </c>
      <c r="E29" s="43"/>
      <c r="F29" s="42" t="s">
        <v>122</v>
      </c>
      <c r="G29" s="43"/>
      <c r="H29" s="44" t="s">
        <v>123</v>
      </c>
      <c r="I29" s="45"/>
      <c r="J29" s="44" t="s">
        <v>124</v>
      </c>
      <c r="K29" s="45"/>
      <c r="N29" s="46" t="s">
        <v>125</v>
      </c>
      <c r="O29" s="47"/>
      <c r="P29" s="46" t="s">
        <v>126</v>
      </c>
      <c r="Q29" s="47"/>
      <c r="R29" s="46" t="s">
        <v>127</v>
      </c>
      <c r="S29" s="47"/>
      <c r="T29" s="46" t="s">
        <v>128</v>
      </c>
      <c r="U29" s="47"/>
    </row>
    <row r="30" spans="4:31" x14ac:dyDescent="0.25">
      <c r="D30" s="44" t="s">
        <v>129</v>
      </c>
      <c r="E30" s="45"/>
      <c r="F30" s="44" t="s">
        <v>130</v>
      </c>
      <c r="G30" s="45"/>
      <c r="H30" s="44" t="s">
        <v>131</v>
      </c>
      <c r="I30" s="45"/>
      <c r="J30" s="44" t="s">
        <v>132</v>
      </c>
      <c r="K30" s="45"/>
      <c r="N30" s="46" t="s">
        <v>133</v>
      </c>
      <c r="O30" s="47"/>
      <c r="P30" s="46" t="s">
        <v>134</v>
      </c>
      <c r="Q30" s="47"/>
      <c r="R30" s="46" t="s">
        <v>135</v>
      </c>
      <c r="S30" s="47"/>
      <c r="T30" s="46" t="s">
        <v>136</v>
      </c>
      <c r="U30" s="47"/>
    </row>
    <row r="31" spans="4:31" x14ac:dyDescent="0.25">
      <c r="D31" s="44" t="s">
        <v>137</v>
      </c>
      <c r="E31" s="45"/>
      <c r="F31" s="44" t="s">
        <v>138</v>
      </c>
      <c r="G31" s="45"/>
      <c r="H31" s="44" t="s">
        <v>139</v>
      </c>
      <c r="I31" s="45"/>
      <c r="J31" s="44" t="s">
        <v>140</v>
      </c>
      <c r="K31" s="45"/>
      <c r="N31" s="46" t="s">
        <v>141</v>
      </c>
      <c r="O31" s="47"/>
      <c r="P31" s="46" t="s">
        <v>142</v>
      </c>
      <c r="Q31" s="47"/>
      <c r="R31" s="46" t="s">
        <v>143</v>
      </c>
      <c r="S31" s="47"/>
      <c r="T31" s="46" t="s">
        <v>144</v>
      </c>
      <c r="U31" s="47"/>
    </row>
    <row r="32" spans="4:31" x14ac:dyDescent="0.25">
      <c r="D32" s="44" t="s">
        <v>145</v>
      </c>
      <c r="E32" s="45"/>
      <c r="F32" s="44" t="s">
        <v>146</v>
      </c>
      <c r="G32" s="45"/>
      <c r="H32" s="44" t="s">
        <v>147</v>
      </c>
      <c r="I32" s="45"/>
      <c r="J32" s="44" t="s">
        <v>148</v>
      </c>
      <c r="K32" s="45"/>
      <c r="N32" s="46" t="s">
        <v>149</v>
      </c>
      <c r="O32" s="47"/>
      <c r="P32" s="46" t="s">
        <v>150</v>
      </c>
      <c r="Q32" s="47"/>
      <c r="R32" s="46" t="s">
        <v>151</v>
      </c>
      <c r="S32" s="47"/>
      <c r="T32" s="46" t="s">
        <v>152</v>
      </c>
      <c r="U32" s="47"/>
    </row>
    <row r="33" spans="4:31" x14ac:dyDescent="0.25">
      <c r="N33" s="46" t="s">
        <v>153</v>
      </c>
      <c r="O33" s="47"/>
      <c r="P33" s="46" t="s">
        <v>154</v>
      </c>
      <c r="Q33" s="47"/>
      <c r="R33" s="46" t="s">
        <v>155</v>
      </c>
      <c r="S33" s="47"/>
      <c r="T33" s="46" t="s">
        <v>156</v>
      </c>
      <c r="U33" s="47"/>
    </row>
    <row r="34" spans="4:31" x14ac:dyDescent="0.25">
      <c r="N34" s="46" t="s">
        <v>157</v>
      </c>
      <c r="O34" s="47"/>
      <c r="P34" s="46" t="s">
        <v>158</v>
      </c>
      <c r="Q34" s="47"/>
      <c r="R34" s="48" t="s">
        <v>159</v>
      </c>
      <c r="S34" s="49"/>
      <c r="T34" s="48" t="s">
        <v>160</v>
      </c>
      <c r="U34" s="49"/>
    </row>
    <row r="35" spans="4:31" x14ac:dyDescent="0.25">
      <c r="N35" s="48" t="s">
        <v>161</v>
      </c>
      <c r="O35" s="49"/>
      <c r="P35" s="48" t="s">
        <v>162</v>
      </c>
      <c r="Q35" s="49"/>
      <c r="R35" s="48" t="s">
        <v>163</v>
      </c>
      <c r="S35" s="49"/>
      <c r="T35" s="48" t="s">
        <v>164</v>
      </c>
      <c r="U35" s="49"/>
    </row>
    <row r="36" spans="4:31" x14ac:dyDescent="0.25">
      <c r="N36" s="48" t="s">
        <v>165</v>
      </c>
      <c r="O36" s="49"/>
      <c r="P36" s="48" t="s">
        <v>166</v>
      </c>
      <c r="Q36" s="49"/>
      <c r="R36" s="48" t="s">
        <v>167</v>
      </c>
      <c r="S36" s="49"/>
      <c r="T36" s="48" t="s">
        <v>168</v>
      </c>
      <c r="U36" s="49"/>
    </row>
    <row r="37" spans="4:31" x14ac:dyDescent="0.25">
      <c r="N37" s="48" t="s">
        <v>169</v>
      </c>
      <c r="O37" s="49"/>
      <c r="P37" s="48" t="s">
        <v>170</v>
      </c>
      <c r="Q37" s="49"/>
      <c r="R37" s="48" t="s">
        <v>171</v>
      </c>
      <c r="S37" s="49"/>
      <c r="T37" s="48" t="s">
        <v>172</v>
      </c>
      <c r="U37" s="49"/>
    </row>
    <row r="38" spans="4:31" x14ac:dyDescent="0.25">
      <c r="N38" s="48" t="s">
        <v>173</v>
      </c>
      <c r="O38" s="49"/>
      <c r="P38" s="48" t="s">
        <v>174</v>
      </c>
      <c r="Q38" s="49"/>
      <c r="R38" s="48" t="s">
        <v>175</v>
      </c>
      <c r="S38" s="49"/>
      <c r="T38" s="48" t="s">
        <v>176</v>
      </c>
      <c r="U38" s="49"/>
    </row>
    <row r="39" spans="4:31" x14ac:dyDescent="0.25">
      <c r="N39" s="48" t="s">
        <v>177</v>
      </c>
      <c r="O39" s="49"/>
      <c r="P39" s="48" t="s">
        <v>178</v>
      </c>
      <c r="Q39" s="49"/>
      <c r="R39" s="48" t="s">
        <v>179</v>
      </c>
      <c r="S39" s="49"/>
      <c r="T39" s="48" t="s">
        <v>180</v>
      </c>
      <c r="U39" s="49"/>
    </row>
    <row r="41" spans="4:31" x14ac:dyDescent="0.25">
      <c r="D41" t="s">
        <v>181</v>
      </c>
      <c r="F41">
        <v>66</v>
      </c>
      <c r="N41" t="s">
        <v>182</v>
      </c>
      <c r="P41">
        <v>80</v>
      </c>
      <c r="X41" t="s">
        <v>183</v>
      </c>
      <c r="Z41">
        <v>80</v>
      </c>
    </row>
    <row r="42" spans="4:31" x14ac:dyDescent="0.25">
      <c r="D42" s="50" t="s">
        <v>184</v>
      </c>
      <c r="E42" s="51"/>
      <c r="F42" s="50" t="s">
        <v>185</v>
      </c>
      <c r="G42" s="51"/>
      <c r="H42" s="50" t="s">
        <v>186</v>
      </c>
      <c r="I42" s="51"/>
      <c r="J42" s="50" t="s">
        <v>187</v>
      </c>
      <c r="K42" s="51"/>
      <c r="N42" s="52" t="s">
        <v>188</v>
      </c>
      <c r="O42" s="53"/>
      <c r="P42" s="52" t="s">
        <v>189</v>
      </c>
      <c r="Q42" s="53"/>
      <c r="R42" s="52" t="s">
        <v>190</v>
      </c>
      <c r="S42" s="53"/>
      <c r="T42" s="52" t="s">
        <v>191</v>
      </c>
      <c r="U42" s="53"/>
      <c r="X42" s="54" t="s">
        <v>192</v>
      </c>
      <c r="Y42" s="55"/>
      <c r="Z42" s="54" t="s">
        <v>193</v>
      </c>
      <c r="AA42" s="55"/>
      <c r="AB42" s="54" t="s">
        <v>194</v>
      </c>
      <c r="AC42" s="55"/>
      <c r="AD42" s="54" t="s">
        <v>195</v>
      </c>
      <c r="AE42" s="55"/>
    </row>
    <row r="43" spans="4:31" x14ac:dyDescent="0.25">
      <c r="D43" s="50" t="s">
        <v>196</v>
      </c>
      <c r="E43" s="51"/>
      <c r="F43" s="50" t="s">
        <v>197</v>
      </c>
      <c r="G43" s="51"/>
      <c r="H43" s="50" t="s">
        <v>198</v>
      </c>
      <c r="I43" s="51"/>
      <c r="J43" s="50" t="s">
        <v>199</v>
      </c>
      <c r="K43" s="51"/>
      <c r="N43" s="52" t="s">
        <v>200</v>
      </c>
      <c r="O43" s="53"/>
      <c r="P43" s="52" t="s">
        <v>201</v>
      </c>
      <c r="Q43" s="53"/>
      <c r="R43" s="52" t="s">
        <v>202</v>
      </c>
      <c r="S43" s="53"/>
      <c r="T43" s="52" t="s">
        <v>203</v>
      </c>
      <c r="U43" s="53"/>
      <c r="X43" s="54" t="s">
        <v>204</v>
      </c>
      <c r="Y43" s="55"/>
      <c r="Z43" s="54" t="s">
        <v>205</v>
      </c>
      <c r="AA43" s="55"/>
      <c r="AB43" s="54" t="s">
        <v>206</v>
      </c>
      <c r="AC43" s="55"/>
      <c r="AD43" s="54" t="s">
        <v>207</v>
      </c>
      <c r="AE43" s="55"/>
    </row>
    <row r="44" spans="4:31" x14ac:dyDescent="0.25">
      <c r="D44" s="50" t="s">
        <v>208</v>
      </c>
      <c r="E44" s="51"/>
      <c r="F44" s="50" t="s">
        <v>209</v>
      </c>
      <c r="G44" s="51"/>
      <c r="H44" s="50" t="s">
        <v>210</v>
      </c>
      <c r="I44" s="51"/>
      <c r="J44" s="50" t="s">
        <v>211</v>
      </c>
      <c r="K44" s="51"/>
      <c r="N44" s="52" t="s">
        <v>212</v>
      </c>
      <c r="O44" s="53"/>
      <c r="P44" s="52" t="s">
        <v>213</v>
      </c>
      <c r="Q44" s="53"/>
      <c r="R44" s="52" t="s">
        <v>214</v>
      </c>
      <c r="S44" s="53"/>
      <c r="T44" s="52" t="s">
        <v>215</v>
      </c>
      <c r="U44" s="53"/>
      <c r="X44" s="54" t="s">
        <v>216</v>
      </c>
      <c r="Y44" s="55"/>
      <c r="Z44" s="54" t="s">
        <v>217</v>
      </c>
      <c r="AA44" s="55"/>
      <c r="AB44" s="54" t="s">
        <v>218</v>
      </c>
      <c r="AC44" s="55"/>
      <c r="AD44" s="54" t="s">
        <v>219</v>
      </c>
      <c r="AE44" s="55"/>
    </row>
    <row r="45" spans="4:31" x14ac:dyDescent="0.25">
      <c r="D45" s="50" t="s">
        <v>220</v>
      </c>
      <c r="E45" s="51"/>
      <c r="F45" s="50" t="s">
        <v>221</v>
      </c>
      <c r="G45" s="51"/>
      <c r="H45" s="50" t="s">
        <v>222</v>
      </c>
      <c r="I45" s="51"/>
      <c r="J45" s="50" t="s">
        <v>223</v>
      </c>
      <c r="K45" s="51"/>
      <c r="N45" s="52" t="s">
        <v>224</v>
      </c>
      <c r="O45" s="53"/>
      <c r="P45" s="52" t="s">
        <v>225</v>
      </c>
      <c r="Q45" s="53"/>
      <c r="R45" s="56" t="s">
        <v>226</v>
      </c>
      <c r="S45" s="57"/>
      <c r="T45" s="56" t="s">
        <v>227</v>
      </c>
      <c r="U45" s="57"/>
      <c r="X45" s="54" t="s">
        <v>228</v>
      </c>
      <c r="Y45" s="55"/>
      <c r="Z45" s="54" t="s">
        <v>229</v>
      </c>
      <c r="AA45" s="55"/>
      <c r="AB45" s="54" t="s">
        <v>230</v>
      </c>
      <c r="AC45" s="55"/>
      <c r="AD45" s="54" t="s">
        <v>231</v>
      </c>
      <c r="AE45" s="55"/>
    </row>
    <row r="46" spans="4:31" x14ac:dyDescent="0.25">
      <c r="D46" s="50" t="s">
        <v>232</v>
      </c>
      <c r="E46" s="51"/>
      <c r="F46" s="50" t="s">
        <v>233</v>
      </c>
      <c r="G46" s="51"/>
      <c r="N46" s="56" t="s">
        <v>234</v>
      </c>
      <c r="O46" s="57"/>
      <c r="P46" s="56" t="s">
        <v>235</v>
      </c>
      <c r="Q46" s="57"/>
      <c r="R46" s="56" t="s">
        <v>236</v>
      </c>
      <c r="S46" s="57"/>
      <c r="T46" s="56" t="s">
        <v>237</v>
      </c>
      <c r="U46" s="57"/>
      <c r="X46" s="54" t="s">
        <v>238</v>
      </c>
      <c r="Y46" s="55"/>
      <c r="Z46" s="54" t="s">
        <v>239</v>
      </c>
      <c r="AA46" s="55"/>
      <c r="AB46" s="54" t="s">
        <v>240</v>
      </c>
      <c r="AC46" s="55"/>
      <c r="AD46" s="54" t="s">
        <v>241</v>
      </c>
      <c r="AE46" s="55"/>
    </row>
    <row r="47" spans="4:31" x14ac:dyDescent="0.25">
      <c r="N47" s="56" t="s">
        <v>242</v>
      </c>
      <c r="O47" s="57"/>
      <c r="P47" s="56" t="s">
        <v>243</v>
      </c>
      <c r="Q47" s="57"/>
      <c r="R47" s="56" t="s">
        <v>244</v>
      </c>
      <c r="S47" s="57"/>
      <c r="T47" s="56" t="s">
        <v>245</v>
      </c>
      <c r="U47" s="57"/>
      <c r="X47" s="58" t="s">
        <v>246</v>
      </c>
      <c r="Y47" s="59"/>
      <c r="Z47" s="58" t="s">
        <v>247</v>
      </c>
      <c r="AA47" s="59"/>
      <c r="AB47" s="58" t="s">
        <v>248</v>
      </c>
      <c r="AC47" s="59"/>
      <c r="AD47" s="58" t="s">
        <v>249</v>
      </c>
      <c r="AE47" s="59"/>
    </row>
    <row r="48" spans="4:31" x14ac:dyDescent="0.25">
      <c r="D48" s="60" t="s">
        <v>250</v>
      </c>
      <c r="E48" s="61"/>
      <c r="F48" s="60" t="s">
        <v>251</v>
      </c>
      <c r="G48" s="61"/>
      <c r="H48" s="60" t="s">
        <v>252</v>
      </c>
      <c r="I48" s="61"/>
      <c r="J48" s="60" t="s">
        <v>253</v>
      </c>
      <c r="K48" s="61"/>
      <c r="N48" s="56" t="s">
        <v>254</v>
      </c>
      <c r="O48" s="57"/>
      <c r="P48" s="56" t="s">
        <v>255</v>
      </c>
      <c r="Q48" s="57"/>
      <c r="R48" s="56" t="s">
        <v>256</v>
      </c>
      <c r="S48" s="57"/>
      <c r="T48" s="56" t="s">
        <v>257</v>
      </c>
      <c r="U48" s="57"/>
      <c r="X48" s="58" t="s">
        <v>258</v>
      </c>
      <c r="Y48" s="59"/>
      <c r="Z48" s="58" t="s">
        <v>259</v>
      </c>
      <c r="AA48" s="59"/>
      <c r="AB48" s="58" t="s">
        <v>260</v>
      </c>
      <c r="AC48" s="59"/>
      <c r="AD48" s="58" t="s">
        <v>261</v>
      </c>
      <c r="AE48" s="59"/>
    </row>
    <row r="49" spans="4:31" x14ac:dyDescent="0.25">
      <c r="D49" s="60" t="s">
        <v>262</v>
      </c>
      <c r="E49" s="61"/>
      <c r="F49" s="60" t="s">
        <v>263</v>
      </c>
      <c r="G49" s="61"/>
      <c r="H49" s="60" t="s">
        <v>264</v>
      </c>
      <c r="I49" s="61"/>
      <c r="J49" s="60" t="s">
        <v>265</v>
      </c>
      <c r="K49" s="61"/>
      <c r="X49" s="58" t="s">
        <v>266</v>
      </c>
      <c r="Y49" s="59"/>
      <c r="Z49" s="58" t="s">
        <v>267</v>
      </c>
      <c r="AA49" s="59"/>
      <c r="AB49" s="58" t="s">
        <v>268</v>
      </c>
      <c r="AC49" s="59"/>
      <c r="AD49" s="58" t="s">
        <v>269</v>
      </c>
      <c r="AE49" s="59"/>
    </row>
    <row r="50" spans="4:31" x14ac:dyDescent="0.25">
      <c r="D50" s="60" t="s">
        <v>270</v>
      </c>
      <c r="E50" s="61"/>
      <c r="F50" s="60" t="s">
        <v>271</v>
      </c>
      <c r="G50" s="61"/>
      <c r="H50" s="60" t="s">
        <v>272</v>
      </c>
      <c r="I50" s="61"/>
      <c r="J50" s="60" t="s">
        <v>273</v>
      </c>
      <c r="K50" s="61"/>
      <c r="N50" s="62" t="s">
        <v>274</v>
      </c>
      <c r="O50" s="63"/>
      <c r="P50" s="62" t="s">
        <v>275</v>
      </c>
      <c r="Q50" s="63"/>
      <c r="R50" s="62" t="s">
        <v>276</v>
      </c>
      <c r="S50" s="63"/>
      <c r="T50" s="62" t="s">
        <v>277</v>
      </c>
      <c r="U50" s="63"/>
      <c r="X50" s="58" t="s">
        <v>278</v>
      </c>
      <c r="Y50" s="59"/>
      <c r="Z50" s="58" t="s">
        <v>279</v>
      </c>
      <c r="AA50" s="59"/>
      <c r="AB50" s="58" t="s">
        <v>280</v>
      </c>
      <c r="AC50" s="59"/>
      <c r="AD50" s="58" t="s">
        <v>281</v>
      </c>
      <c r="AE50" s="59"/>
    </row>
    <row r="51" spans="4:31" x14ac:dyDescent="0.25">
      <c r="D51" s="60" t="s">
        <v>282</v>
      </c>
      <c r="E51" s="61"/>
      <c r="F51" s="60" t="s">
        <v>283</v>
      </c>
      <c r="G51" s="61"/>
      <c r="H51" s="60" t="s">
        <v>284</v>
      </c>
      <c r="I51" s="61"/>
      <c r="J51" s="60" t="s">
        <v>285</v>
      </c>
      <c r="K51" s="61"/>
      <c r="N51" s="62" t="s">
        <v>286</v>
      </c>
      <c r="O51" s="63"/>
      <c r="P51" s="62" t="s">
        <v>287</v>
      </c>
      <c r="Q51" s="63"/>
      <c r="R51" s="62" t="s">
        <v>288</v>
      </c>
      <c r="S51" s="63"/>
      <c r="T51" s="62" t="s">
        <v>289</v>
      </c>
      <c r="U51" s="63"/>
      <c r="X51" s="58" t="s">
        <v>290</v>
      </c>
      <c r="Y51" s="59"/>
      <c r="Z51" s="58" t="s">
        <v>291</v>
      </c>
      <c r="AA51" s="59"/>
      <c r="AB51" s="58" t="s">
        <v>292</v>
      </c>
      <c r="AC51" s="59"/>
      <c r="AD51" s="58" t="s">
        <v>293</v>
      </c>
      <c r="AE51" s="59"/>
    </row>
    <row r="52" spans="4:31" x14ac:dyDescent="0.25">
      <c r="D52" s="64" t="s">
        <v>294</v>
      </c>
      <c r="E52" s="65"/>
      <c r="F52" s="64" t="s">
        <v>295</v>
      </c>
      <c r="G52" s="65"/>
      <c r="H52" s="64" t="s">
        <v>296</v>
      </c>
      <c r="I52" s="65"/>
      <c r="J52" s="64" t="s">
        <v>297</v>
      </c>
      <c r="K52" s="65"/>
      <c r="N52" s="62" t="s">
        <v>298</v>
      </c>
      <c r="O52" s="63"/>
      <c r="P52" s="62" t="s">
        <v>299</v>
      </c>
      <c r="Q52" s="63"/>
      <c r="R52" s="62" t="s">
        <v>300</v>
      </c>
      <c r="S52" s="63"/>
      <c r="T52" s="62" t="s">
        <v>301</v>
      </c>
      <c r="U52" s="63"/>
    </row>
    <row r="53" spans="4:31" x14ac:dyDescent="0.25">
      <c r="D53" s="64" t="s">
        <v>302</v>
      </c>
      <c r="E53" s="65"/>
      <c r="F53" s="64" t="s">
        <v>303</v>
      </c>
      <c r="G53" s="65"/>
      <c r="H53" s="64" t="s">
        <v>304</v>
      </c>
      <c r="I53" s="65"/>
      <c r="J53" s="64" t="s">
        <v>305</v>
      </c>
      <c r="K53" s="65"/>
      <c r="N53" s="62" t="s">
        <v>306</v>
      </c>
      <c r="O53" s="63"/>
      <c r="P53" s="62" t="s">
        <v>307</v>
      </c>
      <c r="Q53" s="63"/>
      <c r="R53" s="62" t="s">
        <v>308</v>
      </c>
      <c r="S53" s="63"/>
      <c r="T53" s="62" t="s">
        <v>309</v>
      </c>
      <c r="U53" s="63"/>
      <c r="X53" s="66" t="s">
        <v>310</v>
      </c>
      <c r="Y53" s="67"/>
      <c r="Z53" s="66" t="s">
        <v>311</v>
      </c>
      <c r="AA53" s="67"/>
      <c r="AB53" s="66" t="s">
        <v>312</v>
      </c>
      <c r="AC53" s="67"/>
      <c r="AD53" s="66" t="s">
        <v>313</v>
      </c>
      <c r="AE53" s="67"/>
    </row>
    <row r="54" spans="4:31" x14ac:dyDescent="0.25">
      <c r="D54" s="64" t="s">
        <v>314</v>
      </c>
      <c r="E54" s="65"/>
      <c r="F54" s="64" t="s">
        <v>315</v>
      </c>
      <c r="G54" s="65"/>
      <c r="H54" s="64" t="s">
        <v>316</v>
      </c>
      <c r="I54" s="65"/>
      <c r="J54" s="64" t="s">
        <v>317</v>
      </c>
      <c r="K54" s="65"/>
      <c r="N54" s="62" t="s">
        <v>318</v>
      </c>
      <c r="O54" s="63"/>
      <c r="P54" s="62" t="s">
        <v>319</v>
      </c>
      <c r="Q54" s="63"/>
      <c r="R54" s="62" t="s">
        <v>320</v>
      </c>
      <c r="S54" s="63"/>
      <c r="T54" s="62" t="s">
        <v>321</v>
      </c>
      <c r="U54" s="63"/>
      <c r="X54" s="66" t="s">
        <v>322</v>
      </c>
      <c r="Y54" s="67"/>
      <c r="Z54" s="66" t="s">
        <v>323</v>
      </c>
      <c r="AA54" s="67"/>
      <c r="AB54" s="66" t="s">
        <v>324</v>
      </c>
      <c r="AC54" s="67"/>
      <c r="AD54" s="66" t="s">
        <v>325</v>
      </c>
      <c r="AE54" s="67"/>
    </row>
    <row r="55" spans="4:31" x14ac:dyDescent="0.25">
      <c r="D55" s="64" t="s">
        <v>326</v>
      </c>
      <c r="E55" s="65"/>
      <c r="F55" s="64" t="s">
        <v>327</v>
      </c>
      <c r="G55" s="65"/>
      <c r="H55" s="64" t="s">
        <v>328</v>
      </c>
      <c r="I55" s="65"/>
      <c r="J55" s="64" t="s">
        <v>329</v>
      </c>
      <c r="K55" s="65"/>
      <c r="N55" s="62" t="s">
        <v>330</v>
      </c>
      <c r="O55" s="63"/>
      <c r="P55" s="62" t="s">
        <v>331</v>
      </c>
      <c r="Q55" s="63"/>
      <c r="R55" s="62" t="s">
        <v>332</v>
      </c>
      <c r="S55" s="63"/>
      <c r="T55" s="62" t="s">
        <v>333</v>
      </c>
      <c r="U55" s="63"/>
      <c r="X55" s="66" t="s">
        <v>334</v>
      </c>
      <c r="Y55" s="67"/>
      <c r="Z55" s="66" t="s">
        <v>335</v>
      </c>
      <c r="AA55" s="67"/>
      <c r="AB55" s="66" t="s">
        <v>336</v>
      </c>
      <c r="AC55" s="67"/>
      <c r="AD55" s="66" t="s">
        <v>337</v>
      </c>
      <c r="AE55" s="67"/>
    </row>
    <row r="56" spans="4:31" x14ac:dyDescent="0.25">
      <c r="D56" s="68" t="s">
        <v>338</v>
      </c>
      <c r="E56" s="69"/>
      <c r="F56" s="68" t="s">
        <v>339</v>
      </c>
      <c r="G56" s="69"/>
      <c r="H56" s="68" t="s">
        <v>340</v>
      </c>
      <c r="I56" s="69"/>
      <c r="J56" s="68" t="s">
        <v>341</v>
      </c>
      <c r="K56" s="69"/>
      <c r="N56" s="70" t="s">
        <v>342</v>
      </c>
      <c r="O56" s="71"/>
      <c r="P56" s="70" t="s">
        <v>343</v>
      </c>
      <c r="Q56" s="71"/>
      <c r="R56" s="70" t="s">
        <v>344</v>
      </c>
      <c r="S56" s="71"/>
      <c r="T56" s="70" t="s">
        <v>345</v>
      </c>
      <c r="U56" s="71"/>
      <c r="X56" s="66" t="s">
        <v>346</v>
      </c>
      <c r="Y56" s="67"/>
      <c r="Z56" s="66" t="s">
        <v>347</v>
      </c>
      <c r="AA56" s="67"/>
      <c r="AB56" s="66" t="s">
        <v>348</v>
      </c>
      <c r="AC56" s="67"/>
      <c r="AD56" s="66" t="s">
        <v>349</v>
      </c>
      <c r="AE56" s="67"/>
    </row>
    <row r="57" spans="4:31" x14ac:dyDescent="0.25">
      <c r="D57" s="68" t="s">
        <v>350</v>
      </c>
      <c r="E57" s="69"/>
      <c r="F57" s="68" t="s">
        <v>351</v>
      </c>
      <c r="G57" s="69"/>
      <c r="H57" s="68" t="s">
        <v>352</v>
      </c>
      <c r="I57" s="69"/>
      <c r="J57" s="68" t="s">
        <v>353</v>
      </c>
      <c r="K57" s="69"/>
      <c r="N57" s="70" t="s">
        <v>354</v>
      </c>
      <c r="O57" s="71"/>
      <c r="P57" s="70" t="s">
        <v>355</v>
      </c>
      <c r="Q57" s="71"/>
      <c r="R57" s="70" t="s">
        <v>356</v>
      </c>
      <c r="S57" s="71"/>
      <c r="T57" s="70" t="s">
        <v>357</v>
      </c>
      <c r="U57" s="71"/>
      <c r="X57" s="66" t="s">
        <v>358</v>
      </c>
      <c r="Y57" s="67"/>
      <c r="Z57" s="66" t="s">
        <v>359</v>
      </c>
      <c r="AA57" s="67"/>
      <c r="AB57" s="66" t="s">
        <v>360</v>
      </c>
      <c r="AC57" s="67"/>
      <c r="AD57" s="66" t="s">
        <v>361</v>
      </c>
      <c r="AE57" s="67"/>
    </row>
    <row r="58" spans="4:31" x14ac:dyDescent="0.25">
      <c r="D58" s="68" t="s">
        <v>362</v>
      </c>
      <c r="E58" s="69"/>
      <c r="F58" s="68" t="s">
        <v>363</v>
      </c>
      <c r="G58" s="69"/>
      <c r="H58" s="68" t="s">
        <v>364</v>
      </c>
      <c r="I58" s="69"/>
      <c r="J58" s="68" t="s">
        <v>365</v>
      </c>
      <c r="K58" s="69"/>
      <c r="N58" s="70" t="s">
        <v>366</v>
      </c>
      <c r="O58" s="71"/>
      <c r="P58" s="70" t="s">
        <v>367</v>
      </c>
      <c r="Q58" s="71"/>
      <c r="R58" s="70" t="s">
        <v>368</v>
      </c>
      <c r="S58" s="71"/>
      <c r="T58" s="70" t="s">
        <v>369</v>
      </c>
      <c r="U58" s="71"/>
      <c r="X58" s="72" t="s">
        <v>370</v>
      </c>
      <c r="Y58" s="73"/>
      <c r="Z58" s="72" t="s">
        <v>371</v>
      </c>
      <c r="AA58" s="73"/>
      <c r="AB58" s="72" t="s">
        <v>372</v>
      </c>
      <c r="AC58" s="73"/>
      <c r="AD58" s="72" t="s">
        <v>373</v>
      </c>
      <c r="AE58" s="73"/>
    </row>
    <row r="59" spans="4:31" x14ac:dyDescent="0.25">
      <c r="D59" s="68" t="s">
        <v>374</v>
      </c>
      <c r="E59" s="69"/>
      <c r="F59" s="68" t="s">
        <v>375</v>
      </c>
      <c r="G59" s="69"/>
      <c r="H59" s="68" t="s">
        <v>376</v>
      </c>
      <c r="I59" s="69"/>
      <c r="J59" s="68" t="s">
        <v>377</v>
      </c>
      <c r="K59" s="69"/>
      <c r="N59" s="70" t="s">
        <v>378</v>
      </c>
      <c r="O59" s="71"/>
      <c r="P59" s="70" t="s">
        <v>379</v>
      </c>
      <c r="Q59" s="71"/>
      <c r="R59" s="74" t="s">
        <v>380</v>
      </c>
      <c r="S59" s="75"/>
      <c r="T59" s="74" t="s">
        <v>381</v>
      </c>
      <c r="U59" s="75"/>
      <c r="X59" s="72" t="s">
        <v>382</v>
      </c>
      <c r="Y59" s="73"/>
      <c r="Z59" s="72" t="s">
        <v>383</v>
      </c>
      <c r="AA59" s="73"/>
      <c r="AB59" s="72" t="s">
        <v>384</v>
      </c>
      <c r="AC59" s="73"/>
      <c r="AD59" s="72" t="s">
        <v>385</v>
      </c>
      <c r="AE59" s="73"/>
    </row>
    <row r="60" spans="4:31" x14ac:dyDescent="0.25">
      <c r="D60" s="76"/>
      <c r="E60" s="76"/>
      <c r="F60" s="76"/>
      <c r="G60" s="76"/>
      <c r="H60" s="76"/>
      <c r="I60" s="76"/>
      <c r="J60" s="76"/>
      <c r="K60" s="76"/>
      <c r="N60" s="74" t="s">
        <v>386</v>
      </c>
      <c r="O60" s="75"/>
      <c r="P60" s="74" t="s">
        <v>387</v>
      </c>
      <c r="Q60" s="75"/>
      <c r="R60" s="74" t="s">
        <v>388</v>
      </c>
      <c r="S60" s="75"/>
      <c r="T60" s="74" t="s">
        <v>389</v>
      </c>
      <c r="U60" s="75"/>
      <c r="X60" s="72" t="s">
        <v>390</v>
      </c>
      <c r="Y60" s="73"/>
      <c r="Z60" s="72" t="s">
        <v>391</v>
      </c>
      <c r="AA60" s="73"/>
      <c r="AB60" s="72" t="s">
        <v>392</v>
      </c>
      <c r="AC60" s="73"/>
      <c r="AD60" s="72" t="s">
        <v>393</v>
      </c>
      <c r="AE60" s="73"/>
    </row>
    <row r="61" spans="4:31" x14ac:dyDescent="0.25">
      <c r="N61" s="74" t="s">
        <v>394</v>
      </c>
      <c r="O61" s="75"/>
      <c r="P61" s="74" t="s">
        <v>395</v>
      </c>
      <c r="Q61" s="75"/>
      <c r="R61" s="74" t="s">
        <v>396</v>
      </c>
      <c r="S61" s="75"/>
      <c r="T61" s="74" t="s">
        <v>397</v>
      </c>
      <c r="U61" s="75"/>
      <c r="X61" s="72" t="s">
        <v>398</v>
      </c>
      <c r="Y61" s="73"/>
      <c r="Z61" s="72" t="s">
        <v>399</v>
      </c>
      <c r="AA61" s="73"/>
      <c r="AB61" s="72" t="s">
        <v>400</v>
      </c>
      <c r="AC61" s="73"/>
      <c r="AD61" s="72" t="s">
        <v>401</v>
      </c>
      <c r="AE61" s="73"/>
    </row>
    <row r="62" spans="4:31" x14ac:dyDescent="0.25">
      <c r="N62" s="74" t="s">
        <v>402</v>
      </c>
      <c r="O62" s="75"/>
      <c r="P62" s="74" t="s">
        <v>403</v>
      </c>
      <c r="Q62" s="75"/>
      <c r="R62" s="74" t="s">
        <v>404</v>
      </c>
      <c r="S62" s="75"/>
      <c r="T62" s="74" t="s">
        <v>405</v>
      </c>
      <c r="U62" s="75"/>
      <c r="X62" s="72" t="s">
        <v>406</v>
      </c>
      <c r="Y62" s="73"/>
      <c r="Z62" s="72" t="s">
        <v>407</v>
      </c>
      <c r="AA62" s="73"/>
      <c r="AB62" s="72" t="s">
        <v>408</v>
      </c>
      <c r="AC62" s="73"/>
      <c r="AD62" s="72" t="s">
        <v>409</v>
      </c>
      <c r="AE62" s="73"/>
    </row>
  </sheetData>
  <mergeCells count="402">
    <mergeCell ref="AB61:AC61"/>
    <mergeCell ref="AD61:AE61"/>
    <mergeCell ref="N62:O62"/>
    <mergeCell ref="P62:Q62"/>
    <mergeCell ref="R62:S62"/>
    <mergeCell ref="T62:U62"/>
    <mergeCell ref="X62:Y62"/>
    <mergeCell ref="Z62:AA62"/>
    <mergeCell ref="AB62:AC62"/>
    <mergeCell ref="AD62:AE62"/>
    <mergeCell ref="N61:O61"/>
    <mergeCell ref="P61:Q61"/>
    <mergeCell ref="R61:S61"/>
    <mergeCell ref="T61:U61"/>
    <mergeCell ref="X61:Y61"/>
    <mergeCell ref="Z61:AA61"/>
    <mergeCell ref="R60:S60"/>
    <mergeCell ref="T60:U60"/>
    <mergeCell ref="X60:Y60"/>
    <mergeCell ref="Z60:AA60"/>
    <mergeCell ref="AB60:AC60"/>
    <mergeCell ref="AD60:AE60"/>
    <mergeCell ref="D60:E60"/>
    <mergeCell ref="F60:G60"/>
    <mergeCell ref="H60:I60"/>
    <mergeCell ref="J60:K60"/>
    <mergeCell ref="N60:O60"/>
    <mergeCell ref="P60:Q60"/>
    <mergeCell ref="R59:S59"/>
    <mergeCell ref="T59:U59"/>
    <mergeCell ref="X59:Y59"/>
    <mergeCell ref="Z59:AA59"/>
    <mergeCell ref="AB59:AC59"/>
    <mergeCell ref="AD59:AE59"/>
    <mergeCell ref="D59:E59"/>
    <mergeCell ref="F59:G59"/>
    <mergeCell ref="H59:I59"/>
    <mergeCell ref="J59:K59"/>
    <mergeCell ref="N59:O59"/>
    <mergeCell ref="P59:Q59"/>
    <mergeCell ref="R58:S58"/>
    <mergeCell ref="T58:U58"/>
    <mergeCell ref="X58:Y58"/>
    <mergeCell ref="Z58:AA58"/>
    <mergeCell ref="AB58:AC58"/>
    <mergeCell ref="AD58:AE58"/>
    <mergeCell ref="D58:E58"/>
    <mergeCell ref="F58:G58"/>
    <mergeCell ref="H58:I58"/>
    <mergeCell ref="J58:K58"/>
    <mergeCell ref="N58:O58"/>
    <mergeCell ref="P58:Q58"/>
    <mergeCell ref="R57:S57"/>
    <mergeCell ref="T57:U57"/>
    <mergeCell ref="X57:Y57"/>
    <mergeCell ref="Z57:AA57"/>
    <mergeCell ref="AB57:AC57"/>
    <mergeCell ref="AD57:AE57"/>
    <mergeCell ref="D57:E57"/>
    <mergeCell ref="F57:G57"/>
    <mergeCell ref="H57:I57"/>
    <mergeCell ref="J57:K57"/>
    <mergeCell ref="N57:O57"/>
    <mergeCell ref="P57:Q57"/>
    <mergeCell ref="R56:S56"/>
    <mergeCell ref="T56:U56"/>
    <mergeCell ref="X56:Y56"/>
    <mergeCell ref="Z56:AA56"/>
    <mergeCell ref="AB56:AC56"/>
    <mergeCell ref="AD56:AE56"/>
    <mergeCell ref="D56:E56"/>
    <mergeCell ref="F56:G56"/>
    <mergeCell ref="H56:I56"/>
    <mergeCell ref="J56:K56"/>
    <mergeCell ref="N56:O56"/>
    <mergeCell ref="P56:Q56"/>
    <mergeCell ref="R55:S55"/>
    <mergeCell ref="T55:U55"/>
    <mergeCell ref="X55:Y55"/>
    <mergeCell ref="Z55:AA55"/>
    <mergeCell ref="AB55:AC55"/>
    <mergeCell ref="AD55:AE55"/>
    <mergeCell ref="D55:E55"/>
    <mergeCell ref="F55:G55"/>
    <mergeCell ref="H55:I55"/>
    <mergeCell ref="J55:K55"/>
    <mergeCell ref="N55:O55"/>
    <mergeCell ref="P55:Q55"/>
    <mergeCell ref="R54:S54"/>
    <mergeCell ref="T54:U54"/>
    <mergeCell ref="X54:Y54"/>
    <mergeCell ref="Z54:AA54"/>
    <mergeCell ref="AB54:AC54"/>
    <mergeCell ref="AD54:AE54"/>
    <mergeCell ref="X53:Y53"/>
    <mergeCell ref="Z53:AA53"/>
    <mergeCell ref="AB53:AC53"/>
    <mergeCell ref="AD53:AE53"/>
    <mergeCell ref="D54:E54"/>
    <mergeCell ref="F54:G54"/>
    <mergeCell ref="H54:I54"/>
    <mergeCell ref="J54:K54"/>
    <mergeCell ref="N54:O54"/>
    <mergeCell ref="P54:Q54"/>
    <mergeCell ref="R52:S52"/>
    <mergeCell ref="T52:U52"/>
    <mergeCell ref="D53:E53"/>
    <mergeCell ref="F53:G53"/>
    <mergeCell ref="H53:I53"/>
    <mergeCell ref="J53:K53"/>
    <mergeCell ref="N53:O53"/>
    <mergeCell ref="P53:Q53"/>
    <mergeCell ref="R53:S53"/>
    <mergeCell ref="T53:U53"/>
    <mergeCell ref="D52:E52"/>
    <mergeCell ref="F52:G52"/>
    <mergeCell ref="H52:I52"/>
    <mergeCell ref="J52:K52"/>
    <mergeCell ref="N52:O52"/>
    <mergeCell ref="P52:Q52"/>
    <mergeCell ref="R51:S51"/>
    <mergeCell ref="T51:U51"/>
    <mergeCell ref="X51:Y51"/>
    <mergeCell ref="Z51:AA51"/>
    <mergeCell ref="AB51:AC51"/>
    <mergeCell ref="AD51:AE51"/>
    <mergeCell ref="X50:Y50"/>
    <mergeCell ref="Z50:AA50"/>
    <mergeCell ref="AB50:AC50"/>
    <mergeCell ref="AD50:AE50"/>
    <mergeCell ref="D51:E51"/>
    <mergeCell ref="F51:G51"/>
    <mergeCell ref="H51:I51"/>
    <mergeCell ref="J51:K51"/>
    <mergeCell ref="N51:O51"/>
    <mergeCell ref="P51:Q51"/>
    <mergeCell ref="AB49:AC49"/>
    <mergeCell ref="AD49:AE49"/>
    <mergeCell ref="D50:E50"/>
    <mergeCell ref="F50:G50"/>
    <mergeCell ref="H50:I50"/>
    <mergeCell ref="J50:K50"/>
    <mergeCell ref="N50:O50"/>
    <mergeCell ref="P50:Q50"/>
    <mergeCell ref="R50:S50"/>
    <mergeCell ref="T50:U50"/>
    <mergeCell ref="X48:Y48"/>
    <mergeCell ref="Z48:AA48"/>
    <mergeCell ref="AB48:AC48"/>
    <mergeCell ref="AD48:AE48"/>
    <mergeCell ref="D49:E49"/>
    <mergeCell ref="F49:G49"/>
    <mergeCell ref="H49:I49"/>
    <mergeCell ref="J49:K49"/>
    <mergeCell ref="X49:Y49"/>
    <mergeCell ref="Z49:AA49"/>
    <mergeCell ref="AB47:AC47"/>
    <mergeCell ref="AD47:AE47"/>
    <mergeCell ref="D48:E48"/>
    <mergeCell ref="F48:G48"/>
    <mergeCell ref="H48:I48"/>
    <mergeCell ref="J48:K48"/>
    <mergeCell ref="N48:O48"/>
    <mergeCell ref="P48:Q48"/>
    <mergeCell ref="R48:S48"/>
    <mergeCell ref="T48:U48"/>
    <mergeCell ref="X46:Y46"/>
    <mergeCell ref="Z46:AA46"/>
    <mergeCell ref="AB46:AC46"/>
    <mergeCell ref="AD46:AE46"/>
    <mergeCell ref="N47:O47"/>
    <mergeCell ref="P47:Q47"/>
    <mergeCell ref="R47:S47"/>
    <mergeCell ref="T47:U47"/>
    <mergeCell ref="X47:Y47"/>
    <mergeCell ref="Z47:AA47"/>
    <mergeCell ref="D46:E46"/>
    <mergeCell ref="F46:G46"/>
    <mergeCell ref="N46:O46"/>
    <mergeCell ref="P46:Q46"/>
    <mergeCell ref="R46:S46"/>
    <mergeCell ref="T46:U46"/>
    <mergeCell ref="R45:S45"/>
    <mergeCell ref="T45:U45"/>
    <mergeCell ref="X45:Y45"/>
    <mergeCell ref="Z45:AA45"/>
    <mergeCell ref="AB45:AC45"/>
    <mergeCell ref="AD45:AE45"/>
    <mergeCell ref="D45:E45"/>
    <mergeCell ref="F45:G45"/>
    <mergeCell ref="H45:I45"/>
    <mergeCell ref="J45:K45"/>
    <mergeCell ref="N45:O45"/>
    <mergeCell ref="P45:Q45"/>
    <mergeCell ref="R44:S44"/>
    <mergeCell ref="T44:U44"/>
    <mergeCell ref="X44:Y44"/>
    <mergeCell ref="Z44:AA44"/>
    <mergeCell ref="AB44:AC44"/>
    <mergeCell ref="AD44:AE44"/>
    <mergeCell ref="D44:E44"/>
    <mergeCell ref="F44:G44"/>
    <mergeCell ref="H44:I44"/>
    <mergeCell ref="J44:K44"/>
    <mergeCell ref="N44:O44"/>
    <mergeCell ref="P44:Q44"/>
    <mergeCell ref="R43:S43"/>
    <mergeCell ref="T43:U43"/>
    <mergeCell ref="X43:Y43"/>
    <mergeCell ref="Z43:AA43"/>
    <mergeCell ref="AB43:AC43"/>
    <mergeCell ref="AD43:AE43"/>
    <mergeCell ref="D43:E43"/>
    <mergeCell ref="F43:G43"/>
    <mergeCell ref="H43:I43"/>
    <mergeCell ref="J43:K43"/>
    <mergeCell ref="N43:O43"/>
    <mergeCell ref="P43:Q43"/>
    <mergeCell ref="R42:S42"/>
    <mergeCell ref="T42:U42"/>
    <mergeCell ref="X42:Y42"/>
    <mergeCell ref="Z42:AA42"/>
    <mergeCell ref="AB42:AC42"/>
    <mergeCell ref="AD42:AE42"/>
    <mergeCell ref="D42:E42"/>
    <mergeCell ref="F42:G42"/>
    <mergeCell ref="H42:I42"/>
    <mergeCell ref="J42:K42"/>
    <mergeCell ref="N42:O42"/>
    <mergeCell ref="P42:Q42"/>
    <mergeCell ref="N38:O38"/>
    <mergeCell ref="P38:Q38"/>
    <mergeCell ref="R38:S38"/>
    <mergeCell ref="T38:U38"/>
    <mergeCell ref="N39:O39"/>
    <mergeCell ref="P39:Q39"/>
    <mergeCell ref="R39:S39"/>
    <mergeCell ref="T39:U39"/>
    <mergeCell ref="N36:O36"/>
    <mergeCell ref="P36:Q36"/>
    <mergeCell ref="R36:S36"/>
    <mergeCell ref="T36:U36"/>
    <mergeCell ref="N37:O37"/>
    <mergeCell ref="P37:Q37"/>
    <mergeCell ref="R37:S37"/>
    <mergeCell ref="T37:U37"/>
    <mergeCell ref="N34:O34"/>
    <mergeCell ref="P34:Q34"/>
    <mergeCell ref="R34:S34"/>
    <mergeCell ref="T34:U34"/>
    <mergeCell ref="N35:O35"/>
    <mergeCell ref="P35:Q35"/>
    <mergeCell ref="R35:S35"/>
    <mergeCell ref="T35:U35"/>
    <mergeCell ref="R32:S32"/>
    <mergeCell ref="T32:U32"/>
    <mergeCell ref="N33:O33"/>
    <mergeCell ref="P33:Q33"/>
    <mergeCell ref="R33:S33"/>
    <mergeCell ref="T33:U33"/>
    <mergeCell ref="D32:E32"/>
    <mergeCell ref="F32:G32"/>
    <mergeCell ref="H32:I32"/>
    <mergeCell ref="J32:K32"/>
    <mergeCell ref="N32:O32"/>
    <mergeCell ref="P32:Q32"/>
    <mergeCell ref="R30:S30"/>
    <mergeCell ref="T30:U30"/>
    <mergeCell ref="D31:E31"/>
    <mergeCell ref="F31:G31"/>
    <mergeCell ref="H31:I31"/>
    <mergeCell ref="J31:K31"/>
    <mergeCell ref="N31:O31"/>
    <mergeCell ref="P31:Q31"/>
    <mergeCell ref="R31:S31"/>
    <mergeCell ref="T31:U31"/>
    <mergeCell ref="D30:E30"/>
    <mergeCell ref="F30:G30"/>
    <mergeCell ref="H30:I30"/>
    <mergeCell ref="J30:K30"/>
    <mergeCell ref="N30:O30"/>
    <mergeCell ref="P30:Q30"/>
    <mergeCell ref="AB28:AC28"/>
    <mergeCell ref="AD28:AE28"/>
    <mergeCell ref="D29:E29"/>
    <mergeCell ref="F29:G29"/>
    <mergeCell ref="H29:I29"/>
    <mergeCell ref="J29:K29"/>
    <mergeCell ref="N29:O29"/>
    <mergeCell ref="P29:Q29"/>
    <mergeCell ref="R29:S29"/>
    <mergeCell ref="T29:U29"/>
    <mergeCell ref="D28:E28"/>
    <mergeCell ref="F28:G28"/>
    <mergeCell ref="H28:I28"/>
    <mergeCell ref="J28:K28"/>
    <mergeCell ref="X28:Y28"/>
    <mergeCell ref="Z28:AA28"/>
    <mergeCell ref="R27:S27"/>
    <mergeCell ref="T27:U27"/>
    <mergeCell ref="X27:Y27"/>
    <mergeCell ref="Z27:AA27"/>
    <mergeCell ref="AB27:AC27"/>
    <mergeCell ref="AD27:AE27"/>
    <mergeCell ref="D27:E27"/>
    <mergeCell ref="F27:G27"/>
    <mergeCell ref="H27:I27"/>
    <mergeCell ref="J27:K27"/>
    <mergeCell ref="N27:O27"/>
    <mergeCell ref="P27:Q27"/>
    <mergeCell ref="R26:S26"/>
    <mergeCell ref="T26:U26"/>
    <mergeCell ref="X26:Y26"/>
    <mergeCell ref="Z26:AA26"/>
    <mergeCell ref="AB26:AC26"/>
    <mergeCell ref="AD26:AE26"/>
    <mergeCell ref="X25:Y25"/>
    <mergeCell ref="Z25:AA25"/>
    <mergeCell ref="AB25:AC25"/>
    <mergeCell ref="AD25:AE25"/>
    <mergeCell ref="D26:E26"/>
    <mergeCell ref="F26:G26"/>
    <mergeCell ref="H26:I26"/>
    <mergeCell ref="J26:K26"/>
    <mergeCell ref="N26:O26"/>
    <mergeCell ref="P26:Q26"/>
    <mergeCell ref="AB24:AC24"/>
    <mergeCell ref="AD24:AE24"/>
    <mergeCell ref="D25:E25"/>
    <mergeCell ref="F25:G25"/>
    <mergeCell ref="H25:I25"/>
    <mergeCell ref="J25:K25"/>
    <mergeCell ref="N25:O25"/>
    <mergeCell ref="P25:Q25"/>
    <mergeCell ref="R25:S25"/>
    <mergeCell ref="T25:U25"/>
    <mergeCell ref="N24:O24"/>
    <mergeCell ref="P24:Q24"/>
    <mergeCell ref="R24:S24"/>
    <mergeCell ref="T24:U24"/>
    <mergeCell ref="X24:Y24"/>
    <mergeCell ref="Z24:AA24"/>
    <mergeCell ref="R23:S23"/>
    <mergeCell ref="T23:U23"/>
    <mergeCell ref="X23:Y23"/>
    <mergeCell ref="Z23:AA23"/>
    <mergeCell ref="AB23:AC23"/>
    <mergeCell ref="AD23:AE23"/>
    <mergeCell ref="D23:E23"/>
    <mergeCell ref="F23:G23"/>
    <mergeCell ref="H23:I23"/>
    <mergeCell ref="J23:K23"/>
    <mergeCell ref="N23:O23"/>
    <mergeCell ref="P23:Q23"/>
    <mergeCell ref="R22:S22"/>
    <mergeCell ref="T22:U22"/>
    <mergeCell ref="X22:Y22"/>
    <mergeCell ref="Z22:AA22"/>
    <mergeCell ref="AB22:AC22"/>
    <mergeCell ref="AD22:AE22"/>
    <mergeCell ref="D22:E22"/>
    <mergeCell ref="F22:G22"/>
    <mergeCell ref="H22:I22"/>
    <mergeCell ref="J22:K22"/>
    <mergeCell ref="N22:O22"/>
    <mergeCell ref="P22:Q22"/>
    <mergeCell ref="R21:S21"/>
    <mergeCell ref="T21:U21"/>
    <mergeCell ref="X21:Y21"/>
    <mergeCell ref="Z21:AA21"/>
    <mergeCell ref="AB21:AC21"/>
    <mergeCell ref="AD21:AE21"/>
    <mergeCell ref="D21:E21"/>
    <mergeCell ref="F21:G21"/>
    <mergeCell ref="H21:I21"/>
    <mergeCell ref="J21:K21"/>
    <mergeCell ref="N21:O21"/>
    <mergeCell ref="P21:Q21"/>
    <mergeCell ref="R20:S20"/>
    <mergeCell ref="T20:U20"/>
    <mergeCell ref="X20:Y20"/>
    <mergeCell ref="Z20:AA20"/>
    <mergeCell ref="AB20:AC20"/>
    <mergeCell ref="AD20:AE20"/>
    <mergeCell ref="D20:E20"/>
    <mergeCell ref="F20:G20"/>
    <mergeCell ref="H20:I20"/>
    <mergeCell ref="J20:K20"/>
    <mergeCell ref="N20:O20"/>
    <mergeCell ref="P20:Q20"/>
    <mergeCell ref="R19:S19"/>
    <mergeCell ref="T19:U19"/>
    <mergeCell ref="X19:Y19"/>
    <mergeCell ref="Z19:AA19"/>
    <mergeCell ref="AB19:AC19"/>
    <mergeCell ref="AD19:AE19"/>
    <mergeCell ref="D19:E19"/>
    <mergeCell ref="F19:G19"/>
    <mergeCell ref="H19:I19"/>
    <mergeCell ref="J19:K19"/>
    <mergeCell ref="N19:O19"/>
    <mergeCell ref="P19:Q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BD81-CAE5-4BDD-8980-6A1A20DA185D}">
  <dimension ref="A1:F8"/>
  <sheetViews>
    <sheetView workbookViewId="0">
      <selection activeCell="H32" sqref="H32"/>
    </sheetView>
  </sheetViews>
  <sheetFormatPr defaultRowHeight="15" x14ac:dyDescent="0.25"/>
  <sheetData>
    <row r="1" spans="1:6" x14ac:dyDescent="0.25">
      <c r="A1" t="s">
        <v>410</v>
      </c>
    </row>
    <row r="2" spans="1:6" x14ac:dyDescent="0.25">
      <c r="A2" t="s">
        <v>411</v>
      </c>
      <c r="B2" t="s">
        <v>412</v>
      </c>
      <c r="D2" t="s">
        <v>413</v>
      </c>
      <c r="E2">
        <v>149.25</v>
      </c>
      <c r="F2" t="s">
        <v>414</v>
      </c>
    </row>
    <row r="3" spans="1:6" x14ac:dyDescent="0.25">
      <c r="A3" t="s">
        <v>415</v>
      </c>
      <c r="B3">
        <v>375</v>
      </c>
      <c r="C3" t="s">
        <v>416</v>
      </c>
    </row>
    <row r="4" spans="1:6" x14ac:dyDescent="0.25">
      <c r="A4" t="s">
        <v>417</v>
      </c>
      <c r="B4">
        <v>34.1</v>
      </c>
      <c r="C4" t="s">
        <v>418</v>
      </c>
    </row>
    <row r="5" spans="1:6" x14ac:dyDescent="0.25">
      <c r="A5" t="s">
        <v>419</v>
      </c>
      <c r="B5">
        <v>41.89</v>
      </c>
      <c r="C5" t="s">
        <v>418</v>
      </c>
    </row>
    <row r="6" spans="1:6" x14ac:dyDescent="0.25">
      <c r="A6" t="s">
        <v>420</v>
      </c>
      <c r="B6">
        <v>11.01</v>
      </c>
      <c r="C6" t="s">
        <v>421</v>
      </c>
    </row>
    <row r="7" spans="1:6" x14ac:dyDescent="0.25">
      <c r="A7" t="s">
        <v>422</v>
      </c>
      <c r="B7">
        <v>11.43</v>
      </c>
      <c r="C7" t="s">
        <v>421</v>
      </c>
    </row>
    <row r="8" spans="1:6" x14ac:dyDescent="0.25">
      <c r="A8" t="s">
        <v>423</v>
      </c>
      <c r="B8">
        <v>398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72BFF-9BE9-4EAA-8DDC-E5A22A5FA334}">
  <dimension ref="A1:E13"/>
  <sheetViews>
    <sheetView tabSelected="1" workbookViewId="0">
      <selection activeCell="F5" sqref="F5"/>
    </sheetView>
  </sheetViews>
  <sheetFormatPr defaultRowHeight="15" x14ac:dyDescent="0.25"/>
  <sheetData>
    <row r="1" spans="1:5" x14ac:dyDescent="0.25">
      <c r="A1" s="77" t="s">
        <v>424</v>
      </c>
      <c r="B1" s="77"/>
      <c r="C1" s="77"/>
      <c r="D1" s="77"/>
      <c r="E1" s="77"/>
    </row>
    <row r="2" spans="1:5" x14ac:dyDescent="0.25">
      <c r="A2" s="77"/>
      <c r="B2" s="77"/>
      <c r="C2" s="77"/>
      <c r="D2" s="77"/>
      <c r="E2" s="77"/>
    </row>
    <row r="3" spans="1:5" x14ac:dyDescent="0.25">
      <c r="A3" s="77"/>
      <c r="B3" s="77"/>
      <c r="C3" s="77"/>
      <c r="D3" s="77"/>
      <c r="E3" s="77"/>
    </row>
    <row r="4" spans="1:5" x14ac:dyDescent="0.25">
      <c r="A4" s="77"/>
      <c r="B4" s="77"/>
      <c r="C4" s="77"/>
      <c r="D4" s="77"/>
      <c r="E4" s="77"/>
    </row>
    <row r="5" spans="1:5" x14ac:dyDescent="0.25">
      <c r="A5" s="77"/>
      <c r="B5" s="77"/>
      <c r="C5" s="77"/>
      <c r="D5" s="77"/>
      <c r="E5" s="77"/>
    </row>
    <row r="6" spans="1:5" x14ac:dyDescent="0.25">
      <c r="A6" s="77"/>
      <c r="B6" s="77"/>
      <c r="C6" s="77"/>
      <c r="D6" s="77"/>
      <c r="E6" s="77"/>
    </row>
    <row r="7" spans="1:5" x14ac:dyDescent="0.25">
      <c r="A7" s="77"/>
      <c r="B7" s="77"/>
      <c r="C7" s="77"/>
      <c r="D7" s="77"/>
      <c r="E7" s="77"/>
    </row>
    <row r="8" spans="1:5" x14ac:dyDescent="0.25">
      <c r="A8" s="77"/>
      <c r="B8" s="77"/>
      <c r="C8" s="77"/>
      <c r="D8" s="77"/>
      <c r="E8" s="77"/>
    </row>
    <row r="9" spans="1:5" x14ac:dyDescent="0.25">
      <c r="A9" s="77"/>
      <c r="B9" s="77"/>
      <c r="C9" s="77"/>
      <c r="D9" s="77"/>
      <c r="E9" s="77"/>
    </row>
    <row r="10" spans="1:5" x14ac:dyDescent="0.25">
      <c r="A10" s="77"/>
      <c r="B10" s="77"/>
      <c r="C10" s="77"/>
      <c r="D10" s="77"/>
      <c r="E10" s="77"/>
    </row>
    <row r="11" spans="1:5" x14ac:dyDescent="0.25">
      <c r="A11" s="77"/>
      <c r="B11" s="77"/>
      <c r="C11" s="77"/>
      <c r="D11" s="77"/>
      <c r="E11" s="77"/>
    </row>
    <row r="12" spans="1:5" x14ac:dyDescent="0.25">
      <c r="A12" s="77"/>
      <c r="B12" s="77"/>
      <c r="C12" s="77"/>
      <c r="D12" s="77"/>
      <c r="E12" s="77"/>
    </row>
    <row r="13" spans="1:5" x14ac:dyDescent="0.25">
      <c r="A13" s="77"/>
      <c r="B13" s="77"/>
      <c r="C13" s="77"/>
      <c r="D13" s="77"/>
      <c r="E13" s="77"/>
    </row>
  </sheetData>
  <mergeCells count="1">
    <mergeCell ref="A1: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DC legplan</vt:lpstr>
      <vt:lpstr>Berekeningen</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sem drost</dc:creator>
  <cp:lastModifiedBy>Sem Drost (student)</cp:lastModifiedBy>
  <dcterms:created xsi:type="dcterms:W3CDTF">2015-06-05T18:17:20Z</dcterms:created>
  <dcterms:modified xsi:type="dcterms:W3CDTF">2026-10-12T09:24:53Z</dcterms:modified>
</cp:coreProperties>
</file>